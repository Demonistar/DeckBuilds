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lwat\Dropbox (Personal)\Client Folders\Microsoft\Microsoft Office Template Project\02_Template Sent for MS Review\Rapid Refresh Batch B82\"/>
    </mc:Choice>
  </mc:AlternateContent>
  <xr:revisionPtr revIDLastSave="0" documentId="8_{0D38D4E8-96BE-450B-AC77-54C0736C603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Retirement planner" sheetId="6" r:id="rId1"/>
    <sheet name="Calculations" sheetId="5" state="hidden" r:id="rId2"/>
  </sheets>
  <definedNames>
    <definedName name="AfterRetirement">'Retirement planner'!$B1&gt;=DesiredRetirementAge</definedName>
    <definedName name="Age">IF(PlanYear&lt;=PlanYears,PlanYear-1+YourCurrentAge,NA())</definedName>
    <definedName name="AnnualPenionsBenefitsAtRetirement">'Retirement planner'!$G$6</definedName>
    <definedName name="AnnualPensionBenefitAfterRetirementIncreasesPercentage">'Retirement planner'!$G$7</definedName>
    <definedName name="AnnualPensionBenefitAmountUncertaintyPercentage">'Retirement planner'!$J$9</definedName>
    <definedName name="AnnualPensionCenefitIncreasesUncertaintyPercentage">'Retirement planner'!$J$10</definedName>
    <definedName name="AnnualSavingsAmountUncertaintyPercentage">'Retirement planner'!$J$7</definedName>
    <definedName name="AnnualSavingsIncreasesUncertaintyPercentage">'Retirement planner'!$J$8</definedName>
    <definedName name="Balance">IF(PlanYear&lt;=PlanYears,Calculations!$I1048576,NA())</definedName>
    <definedName name="Balance_Over">IF(PlanYear&lt;=PlanYears,Calculations!$Y1048576,NA())</definedName>
    <definedName name="Balance_Under">IF(PlanYear&lt;=PlanYears,Calculations!$Q1048576,NA())</definedName>
    <definedName name="BeforeRetirement">'Retirement planner'!$B1&lt;DesiredRetirementAge</definedName>
    <definedName name="ColumnTitleRegion1..I114.1">'Retirement planner'!$B$14</definedName>
    <definedName name="CurrentAnnualIncome">'Retirement planner'!$D$7</definedName>
    <definedName name="CurrentAnnualIncomeIncreasesPercentage">'Retirement planner'!$D$8</definedName>
    <definedName name="CurrentAnnualSavingsAmount">'Retirement planner'!$D$10</definedName>
    <definedName name="CurrentAnnualSavingsAmount_Over">CurrentAnnualSavingsAmount+CurrentAnnualSavingsAmount*AnnualSavingsAmountUncertaintyPercentage/2</definedName>
    <definedName name="CurrentAnnualSavingsAmount_Under">CurrentAnnualSavingsAmount-CurrentAnnualSavingsAmount*AnnualSavingsAmountUncertaintyPercentage/2</definedName>
    <definedName name="CurrentAnnualSavingsIncreasesPercentage">'Retirement planner'!$D$11</definedName>
    <definedName name="CurrentRetirementSavingsBalance">'Retirement planner'!$D$9</definedName>
    <definedName name="DesiredRetirementAge">'Retirement planner'!$G$8</definedName>
    <definedName name="DesiredRetirementIncome">IF(PlanYear&lt;=PlanYears,AfterRetirement*IncomeReplacementAtRetirementPercentage*CurrentAnnualIncome*(1+CurrentAnnualIncomeIncreasesPercentage)^(Calculations!$B1-Calculations!$B$15),NA())</definedName>
    <definedName name="EndBalance">IF(PlanYear&lt;=PlanYears,Calculations!XEZ1+Calculations!XFA1+Calculations!XFB1-Calculations!XFC1+Calculations!XFD1,NA())</definedName>
    <definedName name="IncomeReplacementAtRetirementPercentage">'Retirement planner'!$G$10</definedName>
    <definedName name="Interest">IF(PlanYear&lt;=PlanYears,(Calculations!XFD1*BeforeRetirement*InvestmentReturnPreRetirementPercentage)+(Calculations!XFD1*AfterRetirement*InvestmentReturnPostRetirementPercentage),NA())</definedName>
    <definedName name="Interest_Over">IF(PlanYear&lt;=PlanYears,(Calculations!XFD1*BeforeRetirement*(InvestmentReturnPreRetirementPercentage+InvestmentReturnUncertaintyPercentage/2))+(Calculations!XFD1*AfterRetirement*(InvestmentReturnPostRetirementPercentage+InvestmentReturnUncertaintyPercentage/2)),NA())</definedName>
    <definedName name="Interest_Under">IF(PlanYear&lt;=PlanYears,(Calculations!XFD1*BeforeRetirement*(InvestmentReturnPreRetirementPercentage-InvestmentReturnUncertaintyPercentage/2))+(Calculations!XFD1*AfterRetirement*(InvestmentReturnPostRetirementPercentage-InvestmentReturnUncertaintyPercentage/2)),NA())</definedName>
    <definedName name="InvestmentReturnPostRetirementPercentage">'Retirement planner'!$G$11</definedName>
    <definedName name="InvestmentReturnPreRetirementPercentage">'Retirement planner'!$D$12</definedName>
    <definedName name="InvestmentReturnUncertaintyPercentage">'Retirement planner'!$J$6</definedName>
    <definedName name="LastRow">COUNTIF('Retirement planner'!$B$14:$B$59,"&gt;1")+35</definedName>
    <definedName name="PensionIncome">IF(PlanYear&lt;=PlanYears,AfterRetirement*PensionIncomeInflated,NA())</definedName>
    <definedName name="PensionIncome_Over">IF(PlanYear&lt;=PlanYears,AfterRetirement*PensionIncomeInflated_Over,NA())</definedName>
    <definedName name="PensionIncome_Under">IF(PlanYear&lt;=PlanYears,AfterRetirement*PensionIncomeInflated_Under,NA())</definedName>
    <definedName name="PensionIncomeInflated">AnnualPenionsBenefitsAtRetirement*(1+AnnualPensionBenefitAfterRetirementIncreasesPercentage)^(Calculations!$B1-DesiredRetirementAge)</definedName>
    <definedName name="PensionIncomeInflated_Over">(AnnualPenionsBenefitsAtRetirement+AnnualPenionsBenefitsAtRetirement*AnnualPensionBenefitAmountUncertaintyPercentage/2)*(1+AnnualPensionBenefitAfterRetirementIncreasesPercentage+AnnualPensionCenefitIncreasesUncertaintyPercentage/2)^(Calculations!$B1-DesiredRetirementAge)</definedName>
    <definedName name="PensionIncomeInflated_Under">(AnnualPenionsBenefitsAtRetirement-AnnualPenionsBenefitsAtRetirement*AnnualPensionBenefitAmountUncertaintyPercentage/2)*(1+AnnualPensionBenefitAfterRetirementIncreasesPercentage-AnnualPensionCenefitIncreasesUncertaintyPercentage/2)^(Calculations!$B1-DesiredRetirementAge)</definedName>
    <definedName name="PlanYear">ROWS(Calculations!$B$15:$B1)</definedName>
    <definedName name="PlanYears">YearsOfRetirementIncome+(DesiredRetirementAge-YourCurrentAge)</definedName>
    <definedName name="Print_Area_Reset">OFFSET('Retirement planner'!$A$1:$O$60,0,0,LastRow)</definedName>
    <definedName name="_xlnm.Print_Titles" localSheetId="0">'Retirement planner'!$14:$14</definedName>
    <definedName name="ResultsDisplay_Failure">Calculations!$I$6</definedName>
    <definedName name="ResultsDisplay_Failure_1">Calculations!$I$9</definedName>
    <definedName name="ResultsDisplay_Failure_2">Calculations!$I$10</definedName>
    <definedName name="ResultsDisplay_Failure_3">Calculations!$I$11</definedName>
    <definedName name="ResultsDisplay_Failure_4">Calculations!$I$12</definedName>
    <definedName name="ResultsDisplay_Success">Calculations!$I$7</definedName>
    <definedName name="ResultsDisplay_Success_1">Calculations!$G$9</definedName>
    <definedName name="ResultsDisplay_Success_2">Calculations!$G$10</definedName>
    <definedName name="ResultsDisplay_Success_3">Calculations!$G$11</definedName>
    <definedName name="ResultsDisplay_Success_4">Calculations!$G$12</definedName>
    <definedName name="ResultsDisplay_Success_5">Calculations!$G$13</definedName>
    <definedName name="RowTitleRegion1..D12">'Retirement planner'!$B$6</definedName>
    <definedName name="RowTitleRegion2..G11">'Retirement planner'!$E$6</definedName>
    <definedName name="RowTitleRegion3..J10">'Retirement planner'!$H$6</definedName>
    <definedName name="Salary">IF(PlanYear&lt;=PlanYears,BeforeRetirement*(Calculations!$C1048576+Calculations!$C1048576*CurrentAnnualIncomeIncreasesPercentage),NA())</definedName>
    <definedName name="SavingsBalance_Disbursements">Calculations!$G$15:INDEX(Calculations!$G$15:$G$114,PlanYears)</definedName>
    <definedName name="SavingsBalance_RetiredPeriod">Calculations!$AC$15:INDEX(Calculations!$AC$15:$AC$114,PlanYears)</definedName>
    <definedName name="SavingsBalance_WorkingPeriod">Calculations!$AB$15:INDEX(Calculations!$AB$15:$AB$114,PlanYears)</definedName>
    <definedName name="Success">Calculations!$E$8</definedName>
    <definedName name="UncertaintyCone_Over">Calculations!$AF$15:INDEX(Calculations!$AF$15:$AF$114,PlanYears)</definedName>
    <definedName name="UncertaintyCone_Under">Calculations!$Q$15:INDEX(Calculations!$Q$15:$Q$114,PlanYears)</definedName>
    <definedName name="YearlySavings">IF(PlanYear&lt;=PlanYears,BeforeRetirement*YearlySavingsInflated,NA())</definedName>
    <definedName name="YearlySavings_Over">IF(PlanYear&lt;=PlanYears,BeforeRetirement*YearlySavingsInflated_Over,NA())</definedName>
    <definedName name="YearlySavings_Under">IF(PlanYear&lt;=PlanYears,BeforeRetirement*YearlySavingsInflated_Under,NA())</definedName>
    <definedName name="YearlySavingsInflated">Calculations!$F1048576+Calculations!$F1048576*CurrentAnnualSavingsIncreasesPercentage</definedName>
    <definedName name="YearlySavingsInflated_Over">Calculations!$V1048576+Calculations!$V1048576*(CurrentAnnualSavingsIncreasesPercentage+AnnualSavingsIncreasesUncertaintyPercentage/2)</definedName>
    <definedName name="YearlySavingsInflated_Under">Calculations!$N1048576+Calculations!$N1048576*(CurrentAnnualSavingsIncreasesPercentage-AnnualSavingsIncreasesUncertaintyPercentage/2)</definedName>
    <definedName name="YearsOfRetirementIncome">'Retirement planner'!$G$9</definedName>
    <definedName name="YourCurrentAge">'Retirement planner'!$D$6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5" l="1"/>
  <c r="B16" i="5"/>
  <c r="B69" i="5" l="1"/>
  <c r="B15" i="5"/>
  <c r="B15" i="6" s="1"/>
  <c r="H15" i="5" s="1"/>
  <c r="H15" i="6" s="1"/>
  <c r="B17" i="5"/>
  <c r="B17" i="6" s="1"/>
  <c r="B18" i="6"/>
  <c r="B19" i="5"/>
  <c r="B20" i="5"/>
  <c r="B21" i="5"/>
  <c r="B21" i="6" s="1"/>
  <c r="B22" i="5"/>
  <c r="B22" i="6" s="1"/>
  <c r="P22" i="5" s="1"/>
  <c r="B23" i="5"/>
  <c r="B23" i="6" s="1"/>
  <c r="B24" i="5"/>
  <c r="B25" i="5"/>
  <c r="B25" i="6" s="1"/>
  <c r="B26" i="5"/>
  <c r="B26" i="6" s="1"/>
  <c r="B27" i="5"/>
  <c r="B27" i="6" s="1"/>
  <c r="B28" i="5"/>
  <c r="B29" i="5"/>
  <c r="B29" i="6" s="1"/>
  <c r="B30" i="5"/>
  <c r="B30" i="6" s="1"/>
  <c r="P30" i="5" s="1"/>
  <c r="B31" i="5"/>
  <c r="B32" i="5"/>
  <c r="B33" i="5"/>
  <c r="B33" i="6" s="1"/>
  <c r="B34" i="5"/>
  <c r="B34" i="6" s="1"/>
  <c r="B35" i="5"/>
  <c r="B36" i="5"/>
  <c r="B37" i="5"/>
  <c r="B37" i="6" s="1"/>
  <c r="B38" i="5"/>
  <c r="B38" i="6" s="1"/>
  <c r="X38" i="5" s="1"/>
  <c r="B39" i="5"/>
  <c r="B39" i="6" s="1"/>
  <c r="B40" i="5"/>
  <c r="B41" i="5"/>
  <c r="B41" i="6" s="1"/>
  <c r="B42" i="5"/>
  <c r="B42" i="6" s="1"/>
  <c r="B43" i="5"/>
  <c r="B43" i="6" s="1"/>
  <c r="B44" i="5"/>
  <c r="B45" i="5"/>
  <c r="B45" i="6" s="1"/>
  <c r="B46" i="5"/>
  <c r="B46" i="6" s="1"/>
  <c r="B47" i="5"/>
  <c r="B47" i="6" s="1"/>
  <c r="B48" i="5"/>
  <c r="B48" i="6" s="1"/>
  <c r="B49" i="5"/>
  <c r="B49" i="6" s="1"/>
  <c r="B50" i="5"/>
  <c r="B50" i="6" s="1"/>
  <c r="B51" i="5"/>
  <c r="B51" i="6" s="1"/>
  <c r="H51" i="5" s="1"/>
  <c r="H51" i="6" s="1"/>
  <c r="B52" i="5"/>
  <c r="B52" i="6" s="1"/>
  <c r="X52" i="5" s="1"/>
  <c r="B53" i="5"/>
  <c r="B53" i="6" s="1"/>
  <c r="B54" i="5"/>
  <c r="B54" i="6" s="1"/>
  <c r="B55" i="5"/>
  <c r="B55" i="6" s="1"/>
  <c r="B56" i="5"/>
  <c r="B57" i="5"/>
  <c r="B57" i="6" s="1"/>
  <c r="B58" i="5"/>
  <c r="B58" i="6" s="1"/>
  <c r="B59" i="5"/>
  <c r="B60" i="5"/>
  <c r="G60" i="5" s="1"/>
  <c r="B61" i="5"/>
  <c r="AB61" i="5" s="1"/>
  <c r="B62" i="5"/>
  <c r="AB62" i="5" s="1"/>
  <c r="B63" i="5"/>
  <c r="G63" i="5" s="1"/>
  <c r="B64" i="5"/>
  <c r="AB64" i="5" s="1"/>
  <c r="B65" i="5"/>
  <c r="AB65" i="5" s="1"/>
  <c r="B66" i="5"/>
  <c r="AB66" i="5" s="1"/>
  <c r="B67" i="5"/>
  <c r="X67" i="5" s="1"/>
  <c r="B68" i="5"/>
  <c r="AB68" i="5" s="1"/>
  <c r="B79" i="5"/>
  <c r="B70" i="5"/>
  <c r="G70" i="5" s="1"/>
  <c r="B71" i="5"/>
  <c r="H71" i="5" s="1"/>
  <c r="B72" i="5"/>
  <c r="AB72" i="5" s="1"/>
  <c r="B73" i="5"/>
  <c r="B74" i="5"/>
  <c r="G74" i="5" s="1"/>
  <c r="B75" i="5"/>
  <c r="H75" i="5" s="1"/>
  <c r="B76" i="5"/>
  <c r="AB76" i="5" s="1"/>
  <c r="B77" i="5"/>
  <c r="B78" i="5"/>
  <c r="G78" i="5" s="1"/>
  <c r="C15" i="5"/>
  <c r="C15" i="6" s="1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F4" i="5"/>
  <c r="V15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N15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Y114" i="5"/>
  <c r="W114" i="5"/>
  <c r="Y113" i="5"/>
  <c r="W113" i="5"/>
  <c r="Y112" i="5"/>
  <c r="W112" i="5"/>
  <c r="Y111" i="5"/>
  <c r="W111" i="5"/>
  <c r="Y110" i="5"/>
  <c r="W110" i="5"/>
  <c r="Y109" i="5"/>
  <c r="W109" i="5"/>
  <c r="Y108" i="5"/>
  <c r="W108" i="5"/>
  <c r="Y107" i="5"/>
  <c r="W107" i="5"/>
  <c r="Y106" i="5"/>
  <c r="W106" i="5"/>
  <c r="Y105" i="5"/>
  <c r="W105" i="5"/>
  <c r="Y104" i="5"/>
  <c r="W104" i="5"/>
  <c r="Y103" i="5"/>
  <c r="W103" i="5"/>
  <c r="Y102" i="5"/>
  <c r="W102" i="5"/>
  <c r="Y101" i="5"/>
  <c r="W101" i="5"/>
  <c r="Y100" i="5"/>
  <c r="W100" i="5"/>
  <c r="T15" i="5"/>
  <c r="U15" i="5" s="1"/>
  <c r="Q114" i="5"/>
  <c r="O114" i="5"/>
  <c r="Q113" i="5"/>
  <c r="O113" i="5"/>
  <c r="Q112" i="5"/>
  <c r="O112" i="5"/>
  <c r="Q111" i="5"/>
  <c r="O111" i="5"/>
  <c r="Q110" i="5"/>
  <c r="O110" i="5"/>
  <c r="Q109" i="5"/>
  <c r="O109" i="5"/>
  <c r="Q108" i="5"/>
  <c r="O108" i="5"/>
  <c r="Q107" i="5"/>
  <c r="O107" i="5"/>
  <c r="Q106" i="5"/>
  <c r="O106" i="5"/>
  <c r="Q105" i="5"/>
  <c r="O105" i="5"/>
  <c r="Q104" i="5"/>
  <c r="O104" i="5"/>
  <c r="Q103" i="5"/>
  <c r="O103" i="5"/>
  <c r="Q102" i="5"/>
  <c r="O102" i="5"/>
  <c r="Q101" i="5"/>
  <c r="O101" i="5"/>
  <c r="Q100" i="5"/>
  <c r="O100" i="5"/>
  <c r="L15" i="5"/>
  <c r="M15" i="5" s="1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I114" i="5"/>
  <c r="H114" i="5"/>
  <c r="G114" i="5"/>
  <c r="F114" i="5"/>
  <c r="E114" i="5"/>
  <c r="B114" i="5"/>
  <c r="I113" i="5"/>
  <c r="H113" i="5"/>
  <c r="G113" i="5"/>
  <c r="F113" i="5"/>
  <c r="E113" i="5"/>
  <c r="B113" i="5"/>
  <c r="AB113" i="5" s="1"/>
  <c r="I112" i="5"/>
  <c r="H112" i="5"/>
  <c r="G112" i="5"/>
  <c r="F112" i="5"/>
  <c r="E112" i="5"/>
  <c r="B112" i="5"/>
  <c r="I111" i="5"/>
  <c r="H111" i="5"/>
  <c r="G111" i="5"/>
  <c r="F111" i="5"/>
  <c r="E111" i="5"/>
  <c r="B111" i="5"/>
  <c r="AB111" i="5" s="1"/>
  <c r="I110" i="5"/>
  <c r="H110" i="5"/>
  <c r="G110" i="5"/>
  <c r="F110" i="5"/>
  <c r="E110" i="5"/>
  <c r="B110" i="5"/>
  <c r="I109" i="5"/>
  <c r="H109" i="5"/>
  <c r="G109" i="5"/>
  <c r="F109" i="5"/>
  <c r="E109" i="5"/>
  <c r="B109" i="5"/>
  <c r="I108" i="5"/>
  <c r="H108" i="5"/>
  <c r="G108" i="5"/>
  <c r="F108" i="5"/>
  <c r="E108" i="5"/>
  <c r="B108" i="5"/>
  <c r="I107" i="5"/>
  <c r="H107" i="5"/>
  <c r="G107" i="5"/>
  <c r="F107" i="5"/>
  <c r="E107" i="5"/>
  <c r="B107" i="5"/>
  <c r="I106" i="5"/>
  <c r="H106" i="5"/>
  <c r="G106" i="5"/>
  <c r="F106" i="5"/>
  <c r="E106" i="5"/>
  <c r="B106" i="5"/>
  <c r="AC106" i="5" s="1"/>
  <c r="I105" i="5"/>
  <c r="H105" i="5"/>
  <c r="G105" i="5"/>
  <c r="F105" i="5"/>
  <c r="E105" i="5"/>
  <c r="B105" i="5"/>
  <c r="AC105" i="5" s="1"/>
  <c r="I104" i="5"/>
  <c r="H104" i="5"/>
  <c r="G104" i="5"/>
  <c r="F104" i="5"/>
  <c r="E104" i="5"/>
  <c r="B104" i="5"/>
  <c r="I103" i="5"/>
  <c r="H103" i="5"/>
  <c r="G103" i="5"/>
  <c r="F103" i="5"/>
  <c r="E103" i="5"/>
  <c r="B103" i="5"/>
  <c r="I102" i="5"/>
  <c r="H102" i="5"/>
  <c r="G102" i="5"/>
  <c r="F102" i="5"/>
  <c r="E102" i="5"/>
  <c r="B102" i="5"/>
  <c r="I101" i="5"/>
  <c r="H101" i="5"/>
  <c r="G101" i="5"/>
  <c r="F101" i="5"/>
  <c r="E101" i="5"/>
  <c r="B101" i="5"/>
  <c r="I100" i="5"/>
  <c r="H100" i="5"/>
  <c r="G100" i="5"/>
  <c r="F100" i="5"/>
  <c r="E100" i="5"/>
  <c r="B100" i="5"/>
  <c r="B99" i="5"/>
  <c r="B98" i="5"/>
  <c r="W98" i="5" s="1"/>
  <c r="B97" i="5"/>
  <c r="B96" i="5"/>
  <c r="B95" i="5"/>
  <c r="B94" i="5"/>
  <c r="B93" i="5"/>
  <c r="G93" i="5" s="1"/>
  <c r="B92" i="5"/>
  <c r="B91" i="5"/>
  <c r="H91" i="5" s="1"/>
  <c r="B90" i="5"/>
  <c r="AB90" i="5" s="1"/>
  <c r="B89" i="5"/>
  <c r="B88" i="5"/>
  <c r="B87" i="5"/>
  <c r="H87" i="5" s="1"/>
  <c r="B86" i="5"/>
  <c r="W86" i="5" s="1"/>
  <c r="B85" i="5"/>
  <c r="AB85" i="5" s="1"/>
  <c r="B84" i="5"/>
  <c r="B83" i="5"/>
  <c r="H83" i="5" s="1"/>
  <c r="B82" i="5"/>
  <c r="X82" i="5" s="1"/>
  <c r="B81" i="5"/>
  <c r="H81" i="5"/>
  <c r="B80" i="5"/>
  <c r="H80" i="5" s="1"/>
  <c r="F15" i="5"/>
  <c r="F15" i="6" s="1"/>
  <c r="D15" i="5"/>
  <c r="D15" i="6" s="1"/>
  <c r="W82" i="5"/>
  <c r="P86" i="5"/>
  <c r="O86" i="5"/>
  <c r="G86" i="5"/>
  <c r="P88" i="5"/>
  <c r="W88" i="5"/>
  <c r="X88" i="5"/>
  <c r="O88" i="5"/>
  <c r="G88" i="5"/>
  <c r="P94" i="5"/>
  <c r="W94" i="5"/>
  <c r="X94" i="5"/>
  <c r="O94" i="5"/>
  <c r="G94" i="5"/>
  <c r="X81" i="5"/>
  <c r="W81" i="5"/>
  <c r="P81" i="5"/>
  <c r="G81" i="5"/>
  <c r="X83" i="5"/>
  <c r="W83" i="5"/>
  <c r="P83" i="5"/>
  <c r="O83" i="5"/>
  <c r="G83" i="5"/>
  <c r="H86" i="5"/>
  <c r="H88" i="5"/>
  <c r="X91" i="5"/>
  <c r="W91" i="5"/>
  <c r="P91" i="5"/>
  <c r="O91" i="5"/>
  <c r="G91" i="5"/>
  <c r="O93" i="5"/>
  <c r="H94" i="5"/>
  <c r="O81" i="5"/>
  <c r="P70" i="5"/>
  <c r="W70" i="5"/>
  <c r="O70" i="5"/>
  <c r="X70" i="5"/>
  <c r="G80" i="5"/>
  <c r="P79" i="5"/>
  <c r="W63" i="5"/>
  <c r="X71" i="5"/>
  <c r="W71" i="5"/>
  <c r="O71" i="5"/>
  <c r="P71" i="5"/>
  <c r="W78" i="5"/>
  <c r="O78" i="5"/>
  <c r="X78" i="5"/>
  <c r="P78" i="5"/>
  <c r="X63" i="5"/>
  <c r="X80" i="5"/>
  <c r="X74" i="5"/>
  <c r="O74" i="5"/>
  <c r="O80" i="5"/>
  <c r="W74" i="5"/>
  <c r="W80" i="5"/>
  <c r="P63" i="5"/>
  <c r="O63" i="5"/>
  <c r="O75" i="5"/>
  <c r="P80" i="5"/>
  <c r="P74" i="5"/>
  <c r="W15" i="5"/>
  <c r="P15" i="5"/>
  <c r="O18" i="5"/>
  <c r="X18" i="5"/>
  <c r="P18" i="5"/>
  <c r="X55" i="5"/>
  <c r="X58" i="5"/>
  <c r="W34" i="5"/>
  <c r="P48" i="5"/>
  <c r="X42" i="5"/>
  <c r="X23" i="5"/>
  <c r="AB69" i="5"/>
  <c r="O30" i="5" l="1"/>
  <c r="X30" i="5"/>
  <c r="X22" i="5"/>
  <c r="P75" i="5"/>
  <c r="X75" i="5"/>
  <c r="X86" i="5"/>
  <c r="H78" i="5"/>
  <c r="W75" i="5"/>
  <c r="G75" i="5"/>
  <c r="AB75" i="5"/>
  <c r="P93" i="5"/>
  <c r="G87" i="5"/>
  <c r="P82" i="5"/>
  <c r="G98" i="5"/>
  <c r="H93" i="5"/>
  <c r="H98" i="5"/>
  <c r="W93" i="5"/>
  <c r="O87" i="5"/>
  <c r="H82" i="5"/>
  <c r="G71" i="5"/>
  <c r="X93" i="5"/>
  <c r="P87" i="5"/>
  <c r="W87" i="5"/>
  <c r="H70" i="5"/>
  <c r="X87" i="5"/>
  <c r="G82" i="5"/>
  <c r="P98" i="5"/>
  <c r="O82" i="5"/>
  <c r="O98" i="5"/>
  <c r="X98" i="5"/>
  <c r="O60" i="5"/>
  <c r="P60" i="5"/>
  <c r="W60" i="5"/>
  <c r="X60" i="5"/>
  <c r="AB60" i="5"/>
  <c r="P67" i="5"/>
  <c r="O67" i="5"/>
  <c r="W67" i="5"/>
  <c r="AB67" i="5"/>
  <c r="H63" i="5"/>
  <c r="AB78" i="5"/>
  <c r="W42" i="5"/>
  <c r="H60" i="5"/>
  <c r="O79" i="5"/>
  <c r="W79" i="5"/>
  <c r="X79" i="5"/>
  <c r="H79" i="5"/>
  <c r="G79" i="5"/>
  <c r="H74" i="5"/>
  <c r="P26" i="5"/>
  <c r="H67" i="5"/>
  <c r="AB71" i="5"/>
  <c r="G67" i="5"/>
  <c r="O22" i="5"/>
  <c r="H55" i="5"/>
  <c r="H55" i="6" s="1"/>
  <c r="AB74" i="5"/>
  <c r="AB63" i="5"/>
  <c r="O26" i="5"/>
  <c r="W30" i="5"/>
  <c r="O52" i="5"/>
  <c r="P58" i="5"/>
  <c r="O38" i="5"/>
  <c r="P47" i="5"/>
  <c r="X26" i="5"/>
  <c r="P42" i="5"/>
  <c r="P51" i="5"/>
  <c r="W51" i="5"/>
  <c r="O51" i="5"/>
  <c r="O27" i="5"/>
  <c r="O42" i="5"/>
  <c r="W27" i="5"/>
  <c r="O49" i="5"/>
  <c r="X15" i="5"/>
  <c r="Y15" i="5" s="1"/>
  <c r="T16" i="5" s="1"/>
  <c r="AB98" i="5"/>
  <c r="H53" i="5"/>
  <c r="H53" i="6" s="1"/>
  <c r="W18" i="5"/>
  <c r="O15" i="5"/>
  <c r="Q15" i="5" s="1"/>
  <c r="L16" i="5" s="1"/>
  <c r="H49" i="5"/>
  <c r="H49" i="6" s="1"/>
  <c r="P52" i="5"/>
  <c r="X51" i="5"/>
  <c r="W22" i="5"/>
  <c r="AF112" i="5"/>
  <c r="H48" i="5"/>
  <c r="H48" i="6" s="1"/>
  <c r="P38" i="5"/>
  <c r="AB88" i="5"/>
  <c r="X34" i="5"/>
  <c r="AC103" i="5"/>
  <c r="P23" i="5"/>
  <c r="X54" i="5"/>
  <c r="AF103" i="5"/>
  <c r="AF113" i="5"/>
  <c r="P43" i="5"/>
  <c r="P34" i="5"/>
  <c r="AB81" i="5"/>
  <c r="AF104" i="5"/>
  <c r="W23" i="5"/>
  <c r="AF106" i="5"/>
  <c r="O34" i="5"/>
  <c r="H47" i="5"/>
  <c r="H47" i="6" s="1"/>
  <c r="P54" i="5"/>
  <c r="G46" i="5"/>
  <c r="G46" i="6" s="1"/>
  <c r="W26" i="5"/>
  <c r="P55" i="5"/>
  <c r="P46" i="5"/>
  <c r="AC113" i="5"/>
  <c r="AF114" i="5"/>
  <c r="G52" i="5"/>
  <c r="G52" i="6" s="1"/>
  <c r="O55" i="5"/>
  <c r="AB93" i="5"/>
  <c r="O39" i="5"/>
  <c r="W46" i="5"/>
  <c r="AB107" i="5"/>
  <c r="AB96" i="5"/>
  <c r="W49" i="5"/>
  <c r="AC18" i="5"/>
  <c r="AF100" i="5"/>
  <c r="P49" i="5"/>
  <c r="W38" i="5"/>
  <c r="AB70" i="5"/>
  <c r="W48" i="5"/>
  <c r="AB94" i="5"/>
  <c r="AF102" i="5"/>
  <c r="G54" i="5"/>
  <c r="G54" i="6" s="1"/>
  <c r="X47" i="5"/>
  <c r="X49" i="5"/>
  <c r="AB101" i="5"/>
  <c r="X27" i="5"/>
  <c r="W55" i="5"/>
  <c r="AB86" i="5"/>
  <c r="AF109" i="5"/>
  <c r="AF105" i="5"/>
  <c r="AC111" i="5"/>
  <c r="AB103" i="5"/>
  <c r="AF111" i="5"/>
  <c r="AC15" i="5"/>
  <c r="AB109" i="5"/>
  <c r="AC109" i="5"/>
  <c r="AB80" i="5"/>
  <c r="AC108" i="5"/>
  <c r="AB82" i="5"/>
  <c r="AF110" i="5"/>
  <c r="AC17" i="5"/>
  <c r="AF101" i="5"/>
  <c r="AC100" i="5"/>
  <c r="AB87" i="5"/>
  <c r="AF107" i="5"/>
  <c r="AF108" i="5"/>
  <c r="O48" i="5"/>
  <c r="X48" i="5"/>
  <c r="O43" i="5"/>
  <c r="AC101" i="5"/>
  <c r="AB108" i="5"/>
  <c r="AB105" i="5"/>
  <c r="AC107" i="5"/>
  <c r="O47" i="5"/>
  <c r="W53" i="5"/>
  <c r="G15" i="5"/>
  <c r="G15" i="6" s="1"/>
  <c r="X53" i="5"/>
  <c r="W47" i="5"/>
  <c r="O53" i="5"/>
  <c r="AB83" i="5"/>
  <c r="G48" i="5"/>
  <c r="G48" i="6" s="1"/>
  <c r="AB79" i="5"/>
  <c r="P53" i="5"/>
  <c r="AB84" i="5"/>
  <c r="AB95" i="5"/>
  <c r="AC112" i="5"/>
  <c r="AB114" i="5"/>
  <c r="AC114" i="5"/>
  <c r="H50" i="5"/>
  <c r="H50" i="6" s="1"/>
  <c r="X50" i="5"/>
  <c r="P50" i="5"/>
  <c r="O50" i="5"/>
  <c r="AB112" i="5"/>
  <c r="AB91" i="5"/>
  <c r="AC104" i="5"/>
  <c r="AB106" i="5"/>
  <c r="G58" i="5"/>
  <c r="G58" i="6" s="1"/>
  <c r="O58" i="5"/>
  <c r="W58" i="5"/>
  <c r="H52" i="5"/>
  <c r="H52" i="6" s="1"/>
  <c r="W52" i="5"/>
  <c r="G43" i="5"/>
  <c r="G43" i="6" s="1"/>
  <c r="W43" i="5"/>
  <c r="X43" i="5"/>
  <c r="G39" i="5"/>
  <c r="G39" i="6" s="1"/>
  <c r="X39" i="5"/>
  <c r="P39" i="5"/>
  <c r="W39" i="5"/>
  <c r="B35" i="6"/>
  <c r="B31" i="6"/>
  <c r="H31" i="5" s="1"/>
  <c r="H31" i="6" s="1"/>
  <c r="G27" i="5"/>
  <c r="G27" i="6" s="1"/>
  <c r="P27" i="5"/>
  <c r="G23" i="5"/>
  <c r="G23" i="6" s="1"/>
  <c r="O23" i="5"/>
  <c r="B19" i="6"/>
  <c r="AB89" i="5"/>
  <c r="AB77" i="5"/>
  <c r="W50" i="5"/>
  <c r="AB92" i="5"/>
  <c r="H54" i="5"/>
  <c r="H54" i="6" s="1"/>
  <c r="O54" i="5"/>
  <c r="W54" i="5"/>
  <c r="H46" i="5"/>
  <c r="H46" i="6" s="1"/>
  <c r="X46" i="5"/>
  <c r="O46" i="5"/>
  <c r="AB73" i="5"/>
  <c r="AB97" i="5"/>
  <c r="G50" i="5"/>
  <c r="G50" i="6" s="1"/>
  <c r="G53" i="5"/>
  <c r="G53" i="6" s="1"/>
  <c r="G51" i="5"/>
  <c r="G51" i="6" s="1"/>
  <c r="G49" i="5"/>
  <c r="G49" i="6" s="1"/>
  <c r="G47" i="5"/>
  <c r="G47" i="6" s="1"/>
  <c r="B44" i="6"/>
  <c r="H45" i="5" s="1"/>
  <c r="H45" i="6" s="1"/>
  <c r="B16" i="6"/>
  <c r="G17" i="5" s="1"/>
  <c r="G17" i="6" s="1"/>
  <c r="AC16" i="5"/>
  <c r="B32" i="6"/>
  <c r="B24" i="6"/>
  <c r="G25" i="5" s="1"/>
  <c r="G25" i="6" s="1"/>
  <c r="AB99" i="5"/>
  <c r="AC102" i="5"/>
  <c r="AB102" i="5"/>
  <c r="AB110" i="5"/>
  <c r="AC110" i="5"/>
  <c r="B40" i="6"/>
  <c r="H41" i="5" s="1"/>
  <c r="H41" i="6" s="1"/>
  <c r="B36" i="6"/>
  <c r="G37" i="5" s="1"/>
  <c r="G37" i="6" s="1"/>
  <c r="B28" i="6"/>
  <c r="X29" i="5" s="1"/>
  <c r="B20" i="6"/>
  <c r="G21" i="5" s="1"/>
  <c r="G21" i="6" s="1"/>
  <c r="H58" i="5"/>
  <c r="H58" i="6" s="1"/>
  <c r="B56" i="6"/>
  <c r="W57" i="5" s="1"/>
  <c r="AB100" i="5"/>
  <c r="AB104" i="5"/>
  <c r="H42" i="5"/>
  <c r="H42" i="6" s="1"/>
  <c r="G42" i="5"/>
  <c r="G42" i="6" s="1"/>
  <c r="H38" i="5"/>
  <c r="H38" i="6" s="1"/>
  <c r="G38" i="5"/>
  <c r="G38" i="6" s="1"/>
  <c r="H34" i="5"/>
  <c r="H34" i="6" s="1"/>
  <c r="G34" i="5"/>
  <c r="G34" i="6" s="1"/>
  <c r="H30" i="5"/>
  <c r="H30" i="6" s="1"/>
  <c r="G30" i="5"/>
  <c r="G30" i="6" s="1"/>
  <c r="H26" i="5"/>
  <c r="H26" i="6" s="1"/>
  <c r="G26" i="5"/>
  <c r="G26" i="6" s="1"/>
  <c r="H22" i="5"/>
  <c r="H22" i="6" s="1"/>
  <c r="G22" i="5"/>
  <c r="G22" i="6" s="1"/>
  <c r="H18" i="5"/>
  <c r="H18" i="6" s="1"/>
  <c r="G18" i="5"/>
  <c r="G18" i="6" s="1"/>
  <c r="B59" i="6"/>
  <c r="E15" i="5"/>
  <c r="E15" i="6" s="1"/>
  <c r="H43" i="5"/>
  <c r="H43" i="6" s="1"/>
  <c r="H39" i="5"/>
  <c r="H39" i="6" s="1"/>
  <c r="H37" i="5"/>
  <c r="H37" i="6" s="1"/>
  <c r="H29" i="5"/>
  <c r="H29" i="6" s="1"/>
  <c r="H27" i="5"/>
  <c r="H27" i="6" s="1"/>
  <c r="H23" i="5"/>
  <c r="H23" i="6" s="1"/>
  <c r="G55" i="5"/>
  <c r="G55" i="6" s="1"/>
  <c r="X89" i="5" l="1"/>
  <c r="W89" i="5"/>
  <c r="P89" i="5"/>
  <c r="O89" i="5"/>
  <c r="G89" i="5"/>
  <c r="H89" i="5"/>
  <c r="P90" i="5"/>
  <c r="W90" i="5"/>
  <c r="X90" i="5"/>
  <c r="O90" i="5"/>
  <c r="H90" i="5"/>
  <c r="G90" i="5"/>
  <c r="H99" i="5"/>
  <c r="G99" i="5"/>
  <c r="W99" i="5"/>
  <c r="O99" i="5"/>
  <c r="P99" i="5"/>
  <c r="X99" i="5"/>
  <c r="G85" i="5"/>
  <c r="O85" i="5"/>
  <c r="H85" i="5"/>
  <c r="X85" i="5"/>
  <c r="W85" i="5"/>
  <c r="P85" i="5"/>
  <c r="W92" i="5"/>
  <c r="X92" i="5"/>
  <c r="O92" i="5"/>
  <c r="G92" i="5"/>
  <c r="H92" i="5"/>
  <c r="P92" i="5"/>
  <c r="O95" i="5"/>
  <c r="P95" i="5"/>
  <c r="X95" i="5"/>
  <c r="W95" i="5"/>
  <c r="H95" i="5"/>
  <c r="G95" i="5"/>
  <c r="G84" i="5"/>
  <c r="P84" i="5"/>
  <c r="H84" i="5"/>
  <c r="W84" i="5"/>
  <c r="X84" i="5"/>
  <c r="O84" i="5"/>
  <c r="W97" i="5"/>
  <c r="H97" i="5"/>
  <c r="O97" i="5"/>
  <c r="X97" i="5"/>
  <c r="P97" i="5"/>
  <c r="G97" i="5"/>
  <c r="H96" i="5"/>
  <c r="W96" i="5"/>
  <c r="P96" i="5"/>
  <c r="G96" i="5"/>
  <c r="X96" i="5"/>
  <c r="O96" i="5"/>
  <c r="O69" i="5"/>
  <c r="W69" i="5"/>
  <c r="X69" i="5"/>
  <c r="P69" i="5"/>
  <c r="H69" i="5"/>
  <c r="G69" i="5"/>
  <c r="P76" i="5"/>
  <c r="W76" i="5"/>
  <c r="O76" i="5"/>
  <c r="X76" i="5"/>
  <c r="H76" i="5"/>
  <c r="G76" i="5"/>
  <c r="G73" i="5"/>
  <c r="W73" i="5"/>
  <c r="X73" i="5"/>
  <c r="H73" i="5"/>
  <c r="O73" i="5"/>
  <c r="P73" i="5"/>
  <c r="G72" i="5"/>
  <c r="W72" i="5"/>
  <c r="H72" i="5"/>
  <c r="O72" i="5"/>
  <c r="X72" i="5"/>
  <c r="P72" i="5"/>
  <c r="X77" i="5"/>
  <c r="W77" i="5"/>
  <c r="G77" i="5"/>
  <c r="O77" i="5"/>
  <c r="H77" i="5"/>
  <c r="P77" i="5"/>
  <c r="G64" i="5"/>
  <c r="H64" i="5"/>
  <c r="X64" i="5"/>
  <c r="P64" i="5"/>
  <c r="W64" i="5"/>
  <c r="O64" i="5"/>
  <c r="W68" i="5"/>
  <c r="G68" i="5"/>
  <c r="P68" i="5"/>
  <c r="H68" i="5"/>
  <c r="X68" i="5"/>
  <c r="O68" i="5"/>
  <c r="O62" i="5"/>
  <c r="X62" i="5"/>
  <c r="G62" i="5"/>
  <c r="H62" i="5"/>
  <c r="P62" i="5"/>
  <c r="W62" i="5"/>
  <c r="G61" i="5"/>
  <c r="H61" i="5"/>
  <c r="P61" i="5"/>
  <c r="W61" i="5"/>
  <c r="O61" i="5"/>
  <c r="X61" i="5"/>
  <c r="H66" i="5"/>
  <c r="W66" i="5"/>
  <c r="O66" i="5"/>
  <c r="X66" i="5"/>
  <c r="P66" i="5"/>
  <c r="G66" i="5"/>
  <c r="H65" i="5"/>
  <c r="P65" i="5"/>
  <c r="X65" i="5"/>
  <c r="W65" i="5"/>
  <c r="O65" i="5"/>
  <c r="G65" i="5"/>
  <c r="H25" i="5"/>
  <c r="H25" i="6" s="1"/>
  <c r="H21" i="5"/>
  <c r="H21" i="6" s="1"/>
  <c r="W17" i="5"/>
  <c r="P45" i="5"/>
  <c r="G41" i="5"/>
  <c r="G41" i="6" s="1"/>
  <c r="X17" i="5"/>
  <c r="P33" i="5"/>
  <c r="X33" i="5"/>
  <c r="O33" i="5"/>
  <c r="W33" i="5"/>
  <c r="O17" i="5"/>
  <c r="P17" i="5"/>
  <c r="G33" i="5"/>
  <c r="G33" i="6" s="1"/>
  <c r="W29" i="5"/>
  <c r="O29" i="5"/>
  <c r="P29" i="5"/>
  <c r="X21" i="5"/>
  <c r="W21" i="5"/>
  <c r="P21" i="5"/>
  <c r="O45" i="5"/>
  <c r="W45" i="5"/>
  <c r="X45" i="5"/>
  <c r="H33" i="5"/>
  <c r="H33" i="6" s="1"/>
  <c r="G29" i="5"/>
  <c r="G29" i="6" s="1"/>
  <c r="P57" i="5"/>
  <c r="G57" i="5"/>
  <c r="G57" i="6" s="1"/>
  <c r="O37" i="5"/>
  <c r="W37" i="5"/>
  <c r="X37" i="5"/>
  <c r="X57" i="5"/>
  <c r="O57" i="5"/>
  <c r="G45" i="5"/>
  <c r="G45" i="6" s="1"/>
  <c r="H17" i="5"/>
  <c r="H17" i="6" s="1"/>
  <c r="O41" i="5"/>
  <c r="P41" i="5"/>
  <c r="W41" i="5"/>
  <c r="X41" i="5"/>
  <c r="W25" i="5"/>
  <c r="P25" i="5"/>
  <c r="O25" i="5"/>
  <c r="X25" i="5"/>
  <c r="H57" i="5"/>
  <c r="H57" i="6" s="1"/>
  <c r="O21" i="5"/>
  <c r="P37" i="5"/>
  <c r="AF15" i="5"/>
  <c r="H35" i="5"/>
  <c r="H35" i="6" s="1"/>
  <c r="M16" i="5"/>
  <c r="H19" i="5"/>
  <c r="H19" i="6" s="1"/>
  <c r="G31" i="5"/>
  <c r="G31" i="6" s="1"/>
  <c r="P31" i="5"/>
  <c r="O31" i="5"/>
  <c r="X31" i="5"/>
  <c r="W31" i="5"/>
  <c r="I15" i="5"/>
  <c r="G19" i="5"/>
  <c r="G19" i="6" s="1"/>
  <c r="W19" i="5"/>
  <c r="O19" i="5"/>
  <c r="P19" i="5"/>
  <c r="X19" i="5"/>
  <c r="G35" i="5"/>
  <c r="G35" i="6" s="1"/>
  <c r="W35" i="5"/>
  <c r="O35" i="5"/>
  <c r="P35" i="5"/>
  <c r="X35" i="5"/>
  <c r="H56" i="5"/>
  <c r="H56" i="6" s="1"/>
  <c r="G56" i="5"/>
  <c r="G56" i="6" s="1"/>
  <c r="P56" i="5"/>
  <c r="W56" i="5"/>
  <c r="X56" i="5"/>
  <c r="O56" i="5"/>
  <c r="H36" i="5"/>
  <c r="H36" i="6" s="1"/>
  <c r="G36" i="5"/>
  <c r="G36" i="6" s="1"/>
  <c r="O36" i="5"/>
  <c r="P36" i="5"/>
  <c r="X36" i="5"/>
  <c r="W36" i="5"/>
  <c r="H32" i="5"/>
  <c r="H32" i="6" s="1"/>
  <c r="G32" i="5"/>
  <c r="G32" i="6" s="1"/>
  <c r="X32" i="5"/>
  <c r="W32" i="5"/>
  <c r="P32" i="5"/>
  <c r="O32" i="5"/>
  <c r="H16" i="5"/>
  <c r="H16" i="6" s="1"/>
  <c r="F16" i="5"/>
  <c r="G16" i="5"/>
  <c r="G16" i="6" s="1"/>
  <c r="C16" i="5"/>
  <c r="O16" i="5"/>
  <c r="N16" i="5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P16" i="5"/>
  <c r="W16" i="5"/>
  <c r="X16" i="5"/>
  <c r="V16" i="5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V77" i="5" s="1"/>
  <c r="V78" i="5" s="1"/>
  <c r="V79" i="5" s="1"/>
  <c r="V80" i="5" s="1"/>
  <c r="V81" i="5" s="1"/>
  <c r="V82" i="5" s="1"/>
  <c r="V83" i="5" s="1"/>
  <c r="V84" i="5" s="1"/>
  <c r="V85" i="5" s="1"/>
  <c r="V86" i="5" s="1"/>
  <c r="V87" i="5" s="1"/>
  <c r="V88" i="5" s="1"/>
  <c r="V89" i="5" s="1"/>
  <c r="V90" i="5" s="1"/>
  <c r="V91" i="5" s="1"/>
  <c r="V92" i="5" s="1"/>
  <c r="V93" i="5" s="1"/>
  <c r="V94" i="5" s="1"/>
  <c r="V95" i="5" s="1"/>
  <c r="V96" i="5" s="1"/>
  <c r="V97" i="5" s="1"/>
  <c r="V98" i="5" s="1"/>
  <c r="V99" i="5" s="1"/>
  <c r="H28" i="5"/>
  <c r="H28" i="6" s="1"/>
  <c r="G28" i="5"/>
  <c r="G28" i="6" s="1"/>
  <c r="P28" i="5"/>
  <c r="O28" i="5"/>
  <c r="X28" i="5"/>
  <c r="W28" i="5"/>
  <c r="H59" i="5"/>
  <c r="H59" i="6" s="1"/>
  <c r="W59" i="5"/>
  <c r="G59" i="5"/>
  <c r="G59" i="6" s="1"/>
  <c r="O59" i="5"/>
  <c r="X59" i="5"/>
  <c r="P59" i="5"/>
  <c r="U16" i="5"/>
  <c r="H20" i="5"/>
  <c r="H20" i="6" s="1"/>
  <c r="G20" i="5"/>
  <c r="G20" i="6" s="1"/>
  <c r="W20" i="5"/>
  <c r="X20" i="5"/>
  <c r="O20" i="5"/>
  <c r="P20" i="5"/>
  <c r="H40" i="5"/>
  <c r="H40" i="6" s="1"/>
  <c r="G40" i="5"/>
  <c r="G40" i="6" s="1"/>
  <c r="W40" i="5"/>
  <c r="P40" i="5"/>
  <c r="O40" i="5"/>
  <c r="X40" i="5"/>
  <c r="H24" i="5"/>
  <c r="H24" i="6" s="1"/>
  <c r="G24" i="5"/>
  <c r="G24" i="6" s="1"/>
  <c r="O24" i="5"/>
  <c r="P24" i="5"/>
  <c r="X24" i="5"/>
  <c r="W24" i="5"/>
  <c r="H44" i="5"/>
  <c r="H44" i="6" s="1"/>
  <c r="G44" i="5"/>
  <c r="G44" i="6" s="1"/>
  <c r="W44" i="5"/>
  <c r="X44" i="5"/>
  <c r="O44" i="5"/>
  <c r="P44" i="5"/>
  <c r="D16" i="5" l="1"/>
  <c r="E16" i="5" s="1"/>
  <c r="E16" i="6" s="1"/>
  <c r="I15" i="6"/>
  <c r="AB15" i="5"/>
  <c r="Y16" i="5"/>
  <c r="T17" i="5" s="1"/>
  <c r="C17" i="5"/>
  <c r="C16" i="6"/>
  <c r="F16" i="6"/>
  <c r="F17" i="5"/>
  <c r="Q16" i="5"/>
  <c r="L17" i="5" s="1"/>
  <c r="D16" i="6" l="1"/>
  <c r="I16" i="5"/>
  <c r="C17" i="6"/>
  <c r="C18" i="5"/>
  <c r="U17" i="5"/>
  <c r="Y17" i="5" s="1"/>
  <c r="M17" i="5"/>
  <c r="Q17" i="5" s="1"/>
  <c r="L18" i="5" s="1"/>
  <c r="F17" i="6"/>
  <c r="F18" i="5"/>
  <c r="AF16" i="5"/>
  <c r="D17" i="5" l="1"/>
  <c r="E17" i="5" s="1"/>
  <c r="E17" i="6" s="1"/>
  <c r="I16" i="6"/>
  <c r="AB16" i="5"/>
  <c r="M18" i="5"/>
  <c r="Q18" i="5" s="1"/>
  <c r="L19" i="5" s="1"/>
  <c r="T18" i="5"/>
  <c r="AF17" i="5"/>
  <c r="F18" i="6"/>
  <c r="F19" i="5"/>
  <c r="C18" i="6"/>
  <c r="C19" i="5"/>
  <c r="D17" i="6" l="1"/>
  <c r="M19" i="5"/>
  <c r="Q19" i="5" s="1"/>
  <c r="L20" i="5" s="1"/>
  <c r="C19" i="6"/>
  <c r="C20" i="5"/>
  <c r="U18" i="5"/>
  <c r="Y18" i="5" s="1"/>
  <c r="I17" i="5"/>
  <c r="I17" i="6" s="1"/>
  <c r="F19" i="6"/>
  <c r="F20" i="5"/>
  <c r="AF18" i="5" l="1"/>
  <c r="T19" i="5"/>
  <c r="M20" i="5"/>
  <c r="Q20" i="5" s="1"/>
  <c r="L21" i="5" s="1"/>
  <c r="F20" i="6"/>
  <c r="F21" i="5"/>
  <c r="D18" i="5"/>
  <c r="AB17" i="5"/>
  <c r="C21" i="5"/>
  <c r="C20" i="6"/>
  <c r="C22" i="5" l="1"/>
  <c r="C21" i="6"/>
  <c r="U19" i="5"/>
  <c r="Y19" i="5" s="1"/>
  <c r="M21" i="5"/>
  <c r="Q21" i="5" s="1"/>
  <c r="L22" i="5" s="1"/>
  <c r="E18" i="5"/>
  <c r="E18" i="6" s="1"/>
  <c r="D18" i="6"/>
  <c r="F21" i="6"/>
  <c r="F22" i="5"/>
  <c r="I18" i="5" l="1"/>
  <c r="M22" i="5"/>
  <c r="Q22" i="5" s="1"/>
  <c r="L23" i="5" s="1"/>
  <c r="F22" i="6"/>
  <c r="F23" i="5"/>
  <c r="AF19" i="5"/>
  <c r="T20" i="5"/>
  <c r="C22" i="6"/>
  <c r="C23" i="5"/>
  <c r="D19" i="5" l="1"/>
  <c r="I18" i="6"/>
  <c r="AB18" i="5"/>
  <c r="M23" i="5"/>
  <c r="Q23" i="5" s="1"/>
  <c r="L24" i="5" s="1"/>
  <c r="F23" i="6"/>
  <c r="F24" i="5"/>
  <c r="E19" i="5"/>
  <c r="E19" i="6" s="1"/>
  <c r="D19" i="6"/>
  <c r="C23" i="6"/>
  <c r="C24" i="5"/>
  <c r="U20" i="5"/>
  <c r="Y20" i="5" s="1"/>
  <c r="I19" i="5" l="1"/>
  <c r="I19" i="6" s="1"/>
  <c r="M24" i="5"/>
  <c r="Q24" i="5" s="1"/>
  <c r="L25" i="5" s="1"/>
  <c r="AF20" i="5"/>
  <c r="T21" i="5"/>
  <c r="F24" i="6"/>
  <c r="F25" i="5"/>
  <c r="C24" i="6"/>
  <c r="C25" i="5"/>
  <c r="D20" i="5" l="1"/>
  <c r="E20" i="5" s="1"/>
  <c r="E20" i="6" s="1"/>
  <c r="AC19" i="5"/>
  <c r="AB19" i="5"/>
  <c r="M25" i="5"/>
  <c r="Q25" i="5" s="1"/>
  <c r="L26" i="5" s="1"/>
  <c r="U21" i="5"/>
  <c r="Y21" i="5" s="1"/>
  <c r="C26" i="5"/>
  <c r="C25" i="6"/>
  <c r="F25" i="6"/>
  <c r="F26" i="5"/>
  <c r="D20" i="6" l="1"/>
  <c r="T22" i="5"/>
  <c r="AF21" i="5"/>
  <c r="M26" i="5"/>
  <c r="Q26" i="5" s="1"/>
  <c r="L27" i="5" s="1"/>
  <c r="I20" i="5"/>
  <c r="F26" i="6"/>
  <c r="F27" i="5"/>
  <c r="C27" i="5"/>
  <c r="C26" i="6"/>
  <c r="AC20" i="5" l="1"/>
  <c r="I20" i="6"/>
  <c r="M27" i="5"/>
  <c r="Q27" i="5" s="1"/>
  <c r="L28" i="5" s="1"/>
  <c r="C27" i="6"/>
  <c r="C28" i="5"/>
  <c r="F27" i="6"/>
  <c r="F28" i="5"/>
  <c r="D21" i="5"/>
  <c r="AB20" i="5"/>
  <c r="U22" i="5"/>
  <c r="Y22" i="5" s="1"/>
  <c r="C29" i="5" l="1"/>
  <c r="C28" i="6"/>
  <c r="E21" i="5"/>
  <c r="E21" i="6" s="1"/>
  <c r="D21" i="6"/>
  <c r="T23" i="5"/>
  <c r="AF22" i="5"/>
  <c r="M28" i="5"/>
  <c r="Q28" i="5" s="1"/>
  <c r="L29" i="5" s="1"/>
  <c r="F28" i="6"/>
  <c r="F29" i="5"/>
  <c r="M29" i="5" l="1"/>
  <c r="Q29" i="5" s="1"/>
  <c r="L30" i="5" s="1"/>
  <c r="I21" i="5"/>
  <c r="F29" i="6"/>
  <c r="F30" i="5"/>
  <c r="U23" i="5"/>
  <c r="Y23" i="5" s="1"/>
  <c r="C30" i="5"/>
  <c r="C29" i="6"/>
  <c r="AC21" i="5" l="1"/>
  <c r="I21" i="6"/>
  <c r="AF23" i="5"/>
  <c r="T24" i="5"/>
  <c r="M30" i="5"/>
  <c r="Q30" i="5" s="1"/>
  <c r="L31" i="5" s="1"/>
  <c r="C30" i="6"/>
  <c r="C31" i="5"/>
  <c r="D22" i="5"/>
  <c r="AB21" i="5"/>
  <c r="F30" i="6"/>
  <c r="F31" i="5"/>
  <c r="M31" i="5" l="1"/>
  <c r="Q31" i="5" s="1"/>
  <c r="L32" i="5" s="1"/>
  <c r="E22" i="5"/>
  <c r="E22" i="6" s="1"/>
  <c r="D22" i="6"/>
  <c r="F31" i="6"/>
  <c r="F32" i="5"/>
  <c r="U24" i="5"/>
  <c r="Y24" i="5" s="1"/>
  <c r="C31" i="6"/>
  <c r="C32" i="5"/>
  <c r="AF24" i="5" l="1"/>
  <c r="T25" i="5"/>
  <c r="M32" i="5"/>
  <c r="Q32" i="5" s="1"/>
  <c r="L33" i="5" s="1"/>
  <c r="I22" i="5"/>
  <c r="C33" i="5"/>
  <c r="C32" i="6"/>
  <c r="F32" i="6"/>
  <c r="F33" i="5"/>
  <c r="AC22" i="5" l="1"/>
  <c r="I22" i="6"/>
  <c r="M33" i="5"/>
  <c r="Q33" i="5" s="1"/>
  <c r="L34" i="5" s="1"/>
  <c r="C34" i="5"/>
  <c r="C33" i="6"/>
  <c r="U25" i="5"/>
  <c r="Y25" i="5" s="1"/>
  <c r="F33" i="6"/>
  <c r="F34" i="5"/>
  <c r="D23" i="5"/>
  <c r="AB22" i="5"/>
  <c r="AF25" i="5" l="1"/>
  <c r="T26" i="5"/>
  <c r="M34" i="5"/>
  <c r="Q34" i="5" s="1"/>
  <c r="L35" i="5" s="1"/>
  <c r="F34" i="6"/>
  <c r="F35" i="5"/>
  <c r="E23" i="5"/>
  <c r="E23" i="6" s="1"/>
  <c r="D23" i="6"/>
  <c r="C34" i="6"/>
  <c r="C35" i="5"/>
  <c r="M35" i="5" l="1"/>
  <c r="Q35" i="5" s="1"/>
  <c r="L36" i="5" s="1"/>
  <c r="C35" i="6"/>
  <c r="C36" i="5"/>
  <c r="I23" i="5"/>
  <c r="F35" i="6"/>
  <c r="F36" i="5"/>
  <c r="U26" i="5"/>
  <c r="Y26" i="5" s="1"/>
  <c r="AC23" i="5" l="1"/>
  <c r="I23" i="6"/>
  <c r="T27" i="5"/>
  <c r="AF26" i="5"/>
  <c r="M36" i="5"/>
  <c r="Q36" i="5" s="1"/>
  <c r="L37" i="5" s="1"/>
  <c r="C37" i="5"/>
  <c r="C36" i="6"/>
  <c r="F36" i="6"/>
  <c r="F37" i="5"/>
  <c r="D24" i="5"/>
  <c r="AB23" i="5"/>
  <c r="M37" i="5" l="1"/>
  <c r="Q37" i="5" s="1"/>
  <c r="L38" i="5" s="1"/>
  <c r="F37" i="6"/>
  <c r="F38" i="5"/>
  <c r="E24" i="5"/>
  <c r="E24" i="6" s="1"/>
  <c r="D24" i="6"/>
  <c r="C38" i="5"/>
  <c r="C37" i="6"/>
  <c r="U27" i="5"/>
  <c r="Y27" i="5" s="1"/>
  <c r="AF27" i="5" l="1"/>
  <c r="T28" i="5"/>
  <c r="M38" i="5"/>
  <c r="Q38" i="5" s="1"/>
  <c r="L39" i="5" s="1"/>
  <c r="F38" i="6"/>
  <c r="F39" i="5"/>
  <c r="C38" i="6"/>
  <c r="C39" i="5"/>
  <c r="I24" i="5"/>
  <c r="AC24" i="5" l="1"/>
  <c r="I24" i="6"/>
  <c r="M39" i="5"/>
  <c r="Q39" i="5" s="1"/>
  <c r="L40" i="5" s="1"/>
  <c r="F39" i="6"/>
  <c r="F40" i="5"/>
  <c r="U28" i="5"/>
  <c r="Y28" i="5" s="1"/>
  <c r="C39" i="6"/>
  <c r="C40" i="5"/>
  <c r="D25" i="5"/>
  <c r="AB24" i="5"/>
  <c r="C41" i="5" l="1"/>
  <c r="C40" i="6"/>
  <c r="F40" i="6"/>
  <c r="F41" i="5"/>
  <c r="E25" i="5"/>
  <c r="E25" i="6" s="1"/>
  <c r="D25" i="6"/>
  <c r="M40" i="5"/>
  <c r="Q40" i="5" s="1"/>
  <c r="L41" i="5" s="1"/>
  <c r="AF28" i="5"/>
  <c r="T29" i="5"/>
  <c r="M41" i="5" l="1"/>
  <c r="Q41" i="5" s="1"/>
  <c r="L42" i="5" s="1"/>
  <c r="F41" i="6"/>
  <c r="F42" i="5"/>
  <c r="U29" i="5"/>
  <c r="Y29" i="5" s="1"/>
  <c r="I25" i="5"/>
  <c r="C42" i="5"/>
  <c r="C41" i="6"/>
  <c r="AC25" i="5" l="1"/>
  <c r="I25" i="6"/>
  <c r="AF29" i="5"/>
  <c r="T30" i="5"/>
  <c r="M42" i="5"/>
  <c r="Q42" i="5" s="1"/>
  <c r="L43" i="5" s="1"/>
  <c r="F42" i="6"/>
  <c r="F43" i="5"/>
  <c r="C43" i="5"/>
  <c r="C42" i="6"/>
  <c r="D26" i="5"/>
  <c r="AB25" i="5"/>
  <c r="M43" i="5" l="1"/>
  <c r="Q43" i="5" s="1"/>
  <c r="L44" i="5" s="1"/>
  <c r="F43" i="6"/>
  <c r="F44" i="5"/>
  <c r="U30" i="5"/>
  <c r="Y30" i="5" s="1"/>
  <c r="C43" i="6"/>
  <c r="C44" i="5"/>
  <c r="E26" i="5"/>
  <c r="E26" i="6" s="1"/>
  <c r="D26" i="6"/>
  <c r="M44" i="5" l="1"/>
  <c r="Q44" i="5" s="1"/>
  <c r="L45" i="5" s="1"/>
  <c r="F44" i="6"/>
  <c r="F45" i="5"/>
  <c r="AF30" i="5"/>
  <c r="T31" i="5"/>
  <c r="C45" i="5"/>
  <c r="C44" i="6"/>
  <c r="I26" i="5"/>
  <c r="AC26" i="5" l="1"/>
  <c r="I26" i="6"/>
  <c r="M45" i="5"/>
  <c r="Q45" i="5" s="1"/>
  <c r="L46" i="5" s="1"/>
  <c r="U31" i="5"/>
  <c r="Y31" i="5" s="1"/>
  <c r="F45" i="6"/>
  <c r="F46" i="5"/>
  <c r="C46" i="5"/>
  <c r="C45" i="6"/>
  <c r="D27" i="5"/>
  <c r="AB26" i="5"/>
  <c r="T32" i="5" l="1"/>
  <c r="AF31" i="5"/>
  <c r="M46" i="5"/>
  <c r="Q46" i="5" s="1"/>
  <c r="L47" i="5" s="1"/>
  <c r="C47" i="5"/>
  <c r="C46" i="6"/>
  <c r="F46" i="6"/>
  <c r="F47" i="5"/>
  <c r="E27" i="5"/>
  <c r="E27" i="6" s="1"/>
  <c r="D27" i="6"/>
  <c r="M47" i="5" l="1"/>
  <c r="Q47" i="5" s="1"/>
  <c r="L48" i="5" s="1"/>
  <c r="F47" i="6"/>
  <c r="F48" i="5"/>
  <c r="I27" i="5"/>
  <c r="C48" i="5"/>
  <c r="C47" i="6"/>
  <c r="U32" i="5"/>
  <c r="Y32" i="5" s="1"/>
  <c r="AC27" i="5" l="1"/>
  <c r="I27" i="6"/>
  <c r="T33" i="5"/>
  <c r="AF32" i="5"/>
  <c r="F48" i="6"/>
  <c r="F49" i="5"/>
  <c r="C49" i="5"/>
  <c r="C48" i="6"/>
  <c r="M48" i="5"/>
  <c r="Q48" i="5" s="1"/>
  <c r="L49" i="5" s="1"/>
  <c r="D28" i="5"/>
  <c r="AB27" i="5"/>
  <c r="M49" i="5" l="1"/>
  <c r="Q49" i="5" s="1"/>
  <c r="L50" i="5" s="1"/>
  <c r="F49" i="6"/>
  <c r="F50" i="5"/>
  <c r="E28" i="5"/>
  <c r="E28" i="6" s="1"/>
  <c r="D28" i="6"/>
  <c r="C50" i="5"/>
  <c r="C49" i="6"/>
  <c r="U33" i="5"/>
  <c r="Y33" i="5" s="1"/>
  <c r="T34" i="5" l="1"/>
  <c r="AF33" i="5"/>
  <c r="M50" i="5"/>
  <c r="Q50" i="5" s="1"/>
  <c r="L51" i="5" s="1"/>
  <c r="C50" i="6"/>
  <c r="C51" i="5"/>
  <c r="F50" i="6"/>
  <c r="F51" i="5"/>
  <c r="I28" i="5"/>
  <c r="AC28" i="5" l="1"/>
  <c r="I28" i="6"/>
  <c r="M51" i="5"/>
  <c r="Q51" i="5" s="1"/>
  <c r="L52" i="5" s="1"/>
  <c r="F51" i="6"/>
  <c r="F52" i="5"/>
  <c r="C52" i="5"/>
  <c r="C51" i="6"/>
  <c r="D29" i="5"/>
  <c r="AB28" i="5"/>
  <c r="U34" i="5"/>
  <c r="Y34" i="5" s="1"/>
  <c r="T35" i="5" l="1"/>
  <c r="AF34" i="5"/>
  <c r="M52" i="5"/>
  <c r="Q52" i="5" s="1"/>
  <c r="L53" i="5" s="1"/>
  <c r="F52" i="6"/>
  <c r="F53" i="5"/>
  <c r="E29" i="5"/>
  <c r="E29" i="6" s="1"/>
  <c r="D29" i="6"/>
  <c r="C53" i="5"/>
  <c r="C52" i="6"/>
  <c r="M53" i="5" l="1"/>
  <c r="Q53" i="5" s="1"/>
  <c r="L54" i="5" s="1"/>
  <c r="I29" i="5"/>
  <c r="F53" i="6"/>
  <c r="F54" i="5"/>
  <c r="C54" i="5"/>
  <c r="C53" i="6"/>
  <c r="U35" i="5"/>
  <c r="Y35" i="5" s="1"/>
  <c r="AC29" i="5" l="1"/>
  <c r="I29" i="6"/>
  <c r="AF35" i="5"/>
  <c r="T36" i="5"/>
  <c r="M54" i="5"/>
  <c r="Q54" i="5" s="1"/>
  <c r="L55" i="5" s="1"/>
  <c r="F55" i="5"/>
  <c r="F54" i="6"/>
  <c r="D30" i="5"/>
  <c r="AB29" i="5"/>
  <c r="C54" i="6"/>
  <c r="C55" i="5"/>
  <c r="M55" i="5" l="1"/>
  <c r="Q55" i="5" s="1"/>
  <c r="L56" i="5" s="1"/>
  <c r="C55" i="6"/>
  <c r="C56" i="5"/>
  <c r="U36" i="5"/>
  <c r="Y36" i="5" s="1"/>
  <c r="E30" i="5"/>
  <c r="E30" i="6" s="1"/>
  <c r="D30" i="6"/>
  <c r="F55" i="6"/>
  <c r="F56" i="5"/>
  <c r="I30" i="5" l="1"/>
  <c r="I30" i="6" s="1"/>
  <c r="T37" i="5"/>
  <c r="AF36" i="5"/>
  <c r="M56" i="5"/>
  <c r="Q56" i="5" s="1"/>
  <c r="L57" i="5" s="1"/>
  <c r="C57" i="5"/>
  <c r="C56" i="6"/>
  <c r="F57" i="5"/>
  <c r="F56" i="6"/>
  <c r="D31" i="5" l="1"/>
  <c r="D31" i="6" s="1"/>
  <c r="AC30" i="5"/>
  <c r="AB30" i="5"/>
  <c r="M57" i="5"/>
  <c r="Q57" i="5" s="1"/>
  <c r="L58" i="5" s="1"/>
  <c r="C58" i="5"/>
  <c r="C57" i="6"/>
  <c r="F57" i="6"/>
  <c r="F58" i="5"/>
  <c r="U37" i="5"/>
  <c r="Y37" i="5" s="1"/>
  <c r="E31" i="5" l="1"/>
  <c r="E31" i="6" s="1"/>
  <c r="AF37" i="5"/>
  <c r="T38" i="5"/>
  <c r="M58" i="5"/>
  <c r="Q58" i="5" s="1"/>
  <c r="L59" i="5" s="1"/>
  <c r="C58" i="6"/>
  <c r="C59" i="5"/>
  <c r="F58" i="6"/>
  <c r="F59" i="5"/>
  <c r="I31" i="5" l="1"/>
  <c r="C59" i="6"/>
  <c r="C60" i="5"/>
  <c r="F59" i="6"/>
  <c r="F60" i="5"/>
  <c r="M59" i="5"/>
  <c r="Q59" i="5" s="1"/>
  <c r="L60" i="5" s="1"/>
  <c r="U38" i="5"/>
  <c r="Y38" i="5" s="1"/>
  <c r="AC31" i="5" l="1"/>
  <c r="I31" i="6"/>
  <c r="D32" i="5"/>
  <c r="E32" i="5" s="1"/>
  <c r="E32" i="6" s="1"/>
  <c r="AB31" i="5"/>
  <c r="M60" i="5"/>
  <c r="Q60" i="5" s="1"/>
  <c r="L61" i="5" s="1"/>
  <c r="C61" i="5"/>
  <c r="F61" i="5"/>
  <c r="T39" i="5"/>
  <c r="AF38" i="5"/>
  <c r="D32" i="6" l="1"/>
  <c r="M61" i="5"/>
  <c r="Q61" i="5" s="1"/>
  <c r="L62" i="5" s="1"/>
  <c r="F62" i="5"/>
  <c r="C62" i="5"/>
  <c r="I32" i="5"/>
  <c r="U39" i="5"/>
  <c r="Y39" i="5" s="1"/>
  <c r="AC32" i="5" l="1"/>
  <c r="I32" i="6"/>
  <c r="M62" i="5"/>
  <c r="Q62" i="5" s="1"/>
  <c r="L63" i="5" s="1"/>
  <c r="F63" i="5"/>
  <c r="C63" i="5"/>
  <c r="T40" i="5"/>
  <c r="AF39" i="5"/>
  <c r="D33" i="5"/>
  <c r="AB32" i="5"/>
  <c r="M63" i="5" l="1"/>
  <c r="Q63" i="5" s="1"/>
  <c r="L64" i="5" s="1"/>
  <c r="C64" i="5"/>
  <c r="F64" i="5"/>
  <c r="E33" i="5"/>
  <c r="E33" i="6" s="1"/>
  <c r="D33" i="6"/>
  <c r="U40" i="5"/>
  <c r="Y40" i="5" s="1"/>
  <c r="M64" i="5" l="1"/>
  <c r="Q64" i="5" s="1"/>
  <c r="L65" i="5" s="1"/>
  <c r="F65" i="5"/>
  <c r="C65" i="5"/>
  <c r="I33" i="5"/>
  <c r="I33" i="6" s="1"/>
  <c r="AF40" i="5"/>
  <c r="T41" i="5"/>
  <c r="D34" i="5" l="1"/>
  <c r="D34" i="6" s="1"/>
  <c r="AC33" i="5"/>
  <c r="M65" i="5"/>
  <c r="Q65" i="5" s="1"/>
  <c r="L66" i="5" s="1"/>
  <c r="F66" i="5"/>
  <c r="C66" i="5"/>
  <c r="AB33" i="5"/>
  <c r="E34" i="5"/>
  <c r="E34" i="6" s="1"/>
  <c r="U41" i="5"/>
  <c r="Y41" i="5" s="1"/>
  <c r="M66" i="5" l="1"/>
  <c r="Q66" i="5" s="1"/>
  <c r="L67" i="5" s="1"/>
  <c r="F67" i="5"/>
  <c r="C67" i="5"/>
  <c r="T42" i="5"/>
  <c r="AF41" i="5"/>
  <c r="I34" i="5"/>
  <c r="AC34" i="5" l="1"/>
  <c r="I34" i="6"/>
  <c r="M67" i="5"/>
  <c r="Q67" i="5" s="1"/>
  <c r="L68" i="5" s="1"/>
  <c r="F68" i="5"/>
  <c r="C68" i="5"/>
  <c r="D35" i="5"/>
  <c r="AB34" i="5"/>
  <c r="U42" i="5"/>
  <c r="Y42" i="5" s="1"/>
  <c r="M68" i="5" l="1"/>
  <c r="Q68" i="5" s="1"/>
  <c r="L69" i="5" s="1"/>
  <c r="F69" i="5"/>
  <c r="C69" i="5"/>
  <c r="T43" i="5"/>
  <c r="AF42" i="5"/>
  <c r="E35" i="5"/>
  <c r="E35" i="6" s="1"/>
  <c r="D35" i="6"/>
  <c r="C70" i="5" l="1"/>
  <c r="F70" i="5"/>
  <c r="M69" i="5"/>
  <c r="Q69" i="5" s="1"/>
  <c r="L70" i="5" s="1"/>
  <c r="I35" i="5"/>
  <c r="U43" i="5"/>
  <c r="Y43" i="5" s="1"/>
  <c r="AC35" i="5" l="1"/>
  <c r="I35" i="6"/>
  <c r="M70" i="5"/>
  <c r="Q70" i="5" s="1"/>
  <c r="L71" i="5" s="1"/>
  <c r="C71" i="5"/>
  <c r="F71" i="5"/>
  <c r="AF43" i="5"/>
  <c r="T44" i="5"/>
  <c r="D36" i="5"/>
  <c r="AB35" i="5"/>
  <c r="F72" i="5" l="1"/>
  <c r="C72" i="5"/>
  <c r="M71" i="5"/>
  <c r="Q71" i="5" s="1"/>
  <c r="L72" i="5" s="1"/>
  <c r="E36" i="5"/>
  <c r="E36" i="6" s="1"/>
  <c r="D36" i="6"/>
  <c r="U44" i="5"/>
  <c r="Y44" i="5" s="1"/>
  <c r="M72" i="5" l="1"/>
  <c r="Q72" i="5" s="1"/>
  <c r="L73" i="5" s="1"/>
  <c r="C73" i="5"/>
  <c r="F73" i="5"/>
  <c r="AF44" i="5"/>
  <c r="T45" i="5"/>
  <c r="I36" i="5"/>
  <c r="AC36" i="5" l="1"/>
  <c r="I36" i="6"/>
  <c r="M73" i="5"/>
  <c r="Q73" i="5" s="1"/>
  <c r="L74" i="5" s="1"/>
  <c r="C74" i="5"/>
  <c r="F74" i="5"/>
  <c r="D37" i="5"/>
  <c r="AB36" i="5"/>
  <c r="U45" i="5"/>
  <c r="Y45" i="5" s="1"/>
  <c r="M74" i="5" l="1"/>
  <c r="Q74" i="5" s="1"/>
  <c r="L75" i="5" s="1"/>
  <c r="C75" i="5"/>
  <c r="F75" i="5"/>
  <c r="AF45" i="5"/>
  <c r="T46" i="5"/>
  <c r="E37" i="5"/>
  <c r="E37" i="6" s="1"/>
  <c r="D37" i="6"/>
  <c r="M75" i="5" l="1"/>
  <c r="Q75" i="5" s="1"/>
  <c r="L76" i="5" s="1"/>
  <c r="F76" i="5"/>
  <c r="C76" i="5"/>
  <c r="I37" i="5"/>
  <c r="U46" i="5"/>
  <c r="Y46" i="5" s="1"/>
  <c r="AC37" i="5" l="1"/>
  <c r="I37" i="6"/>
  <c r="M76" i="5"/>
  <c r="Q76" i="5" s="1"/>
  <c r="L77" i="5" s="1"/>
  <c r="F77" i="5"/>
  <c r="C77" i="5"/>
  <c r="T47" i="5"/>
  <c r="AF46" i="5"/>
  <c r="D38" i="5"/>
  <c r="AB37" i="5"/>
  <c r="M77" i="5" l="1"/>
  <c r="Q77" i="5" s="1"/>
  <c r="L78" i="5" s="1"/>
  <c r="F78" i="5"/>
  <c r="C78" i="5"/>
  <c r="E38" i="5"/>
  <c r="E38" i="6" s="1"/>
  <c r="D38" i="6"/>
  <c r="U47" i="5"/>
  <c r="Y47" i="5" s="1"/>
  <c r="M78" i="5" l="1"/>
  <c r="Q78" i="5" s="1"/>
  <c r="L79" i="5" s="1"/>
  <c r="C79" i="5"/>
  <c r="C80" i="5" s="1"/>
  <c r="F79" i="5"/>
  <c r="F80" i="5" s="1"/>
  <c r="AF47" i="5"/>
  <c r="T48" i="5"/>
  <c r="I38" i="5"/>
  <c r="C81" i="5" l="1"/>
  <c r="F81" i="5"/>
  <c r="AC38" i="5"/>
  <c r="I38" i="6"/>
  <c r="M79" i="5"/>
  <c r="Q79" i="5" s="1"/>
  <c r="L80" i="5" s="1"/>
  <c r="U48" i="5"/>
  <c r="Y48" i="5" s="1"/>
  <c r="D39" i="5"/>
  <c r="AB38" i="5"/>
  <c r="F82" i="5" l="1"/>
  <c r="M80" i="5"/>
  <c r="Q80" i="5" s="1"/>
  <c r="L81" i="5" s="1"/>
  <c r="C82" i="5"/>
  <c r="T49" i="5"/>
  <c r="AF48" i="5"/>
  <c r="E39" i="5"/>
  <c r="E39" i="6" s="1"/>
  <c r="D39" i="6"/>
  <c r="M81" i="5" l="1"/>
  <c r="Q81" i="5" s="1"/>
  <c r="L82" i="5" s="1"/>
  <c r="C83" i="5"/>
  <c r="F83" i="5"/>
  <c r="I39" i="5"/>
  <c r="U49" i="5"/>
  <c r="Y49" i="5" s="1"/>
  <c r="M82" i="5" l="1"/>
  <c r="Q82" i="5" s="1"/>
  <c r="L83" i="5" s="1"/>
  <c r="C84" i="5"/>
  <c r="F84" i="5"/>
  <c r="D40" i="5"/>
  <c r="D40" i="6" s="1"/>
  <c r="I39" i="6"/>
  <c r="AB39" i="5"/>
  <c r="AC39" i="5"/>
  <c r="AF49" i="5"/>
  <c r="T50" i="5"/>
  <c r="E40" i="5" l="1"/>
  <c r="E40" i="6" s="1"/>
  <c r="M83" i="5"/>
  <c r="Q83" i="5" s="1"/>
  <c r="L84" i="5" s="1"/>
  <c r="F85" i="5"/>
  <c r="C85" i="5"/>
  <c r="U50" i="5"/>
  <c r="Y50" i="5" s="1"/>
  <c r="I40" i="5"/>
  <c r="M84" i="5" l="1"/>
  <c r="Q84" i="5" s="1"/>
  <c r="L85" i="5" s="1"/>
  <c r="F86" i="5"/>
  <c r="C86" i="5"/>
  <c r="AB40" i="5"/>
  <c r="I40" i="6"/>
  <c r="AF50" i="5"/>
  <c r="T51" i="5"/>
  <c r="D41" i="5"/>
  <c r="AC40" i="5"/>
  <c r="M85" i="5" l="1"/>
  <c r="Q85" i="5" s="1"/>
  <c r="L86" i="5" s="1"/>
  <c r="C87" i="5"/>
  <c r="F87" i="5"/>
  <c r="E41" i="5"/>
  <c r="E41" i="6" s="1"/>
  <c r="D41" i="6"/>
  <c r="U51" i="5"/>
  <c r="Y51" i="5" s="1"/>
  <c r="M86" i="5" l="1"/>
  <c r="Q86" i="5" s="1"/>
  <c r="L87" i="5" s="1"/>
  <c r="C88" i="5"/>
  <c r="F88" i="5"/>
  <c r="I41" i="5"/>
  <c r="T52" i="5"/>
  <c r="AF51" i="5"/>
  <c r="M87" i="5" l="1"/>
  <c r="Q87" i="5" s="1"/>
  <c r="L88" i="5" s="1"/>
  <c r="C89" i="5"/>
  <c r="F89" i="5"/>
  <c r="D42" i="5"/>
  <c r="D42" i="6" s="1"/>
  <c r="I41" i="6"/>
  <c r="AC41" i="5"/>
  <c r="AB41" i="5"/>
  <c r="U52" i="5"/>
  <c r="Y52" i="5" s="1"/>
  <c r="M88" i="5" l="1"/>
  <c r="Q88" i="5" s="1"/>
  <c r="L89" i="5" s="1"/>
  <c r="F90" i="5"/>
  <c r="C90" i="5"/>
  <c r="E42" i="5"/>
  <c r="E42" i="6" s="1"/>
  <c r="AF52" i="5"/>
  <c r="T53" i="5"/>
  <c r="M89" i="5" l="1"/>
  <c r="Q89" i="5" s="1"/>
  <c r="L90" i="5" s="1"/>
  <c r="C91" i="5"/>
  <c r="F91" i="5"/>
  <c r="I42" i="5"/>
  <c r="AB42" i="5"/>
  <c r="U53" i="5"/>
  <c r="Y53" i="5" s="1"/>
  <c r="M90" i="5" l="1"/>
  <c r="Q90" i="5" s="1"/>
  <c r="L91" i="5" s="1"/>
  <c r="AC42" i="5"/>
  <c r="D43" i="5"/>
  <c r="F92" i="5"/>
  <c r="C92" i="5"/>
  <c r="I42" i="6"/>
  <c r="AF53" i="5"/>
  <c r="T54" i="5"/>
  <c r="M91" i="5" l="1"/>
  <c r="Q91" i="5" s="1"/>
  <c r="L92" i="5" s="1"/>
  <c r="C93" i="5"/>
  <c r="E43" i="5"/>
  <c r="E43" i="6" s="1"/>
  <c r="D43" i="6"/>
  <c r="F93" i="5"/>
  <c r="AB43" i="5"/>
  <c r="U54" i="5"/>
  <c r="Y54" i="5" s="1"/>
  <c r="M92" i="5" l="1"/>
  <c r="Q92" i="5" s="1"/>
  <c r="L93" i="5" s="1"/>
  <c r="F94" i="5"/>
  <c r="C94" i="5"/>
  <c r="I43" i="5"/>
  <c r="T55" i="5"/>
  <c r="AF54" i="5"/>
  <c r="M93" i="5" l="1"/>
  <c r="Q93" i="5" s="1"/>
  <c r="L94" i="5" s="1"/>
  <c r="D44" i="5"/>
  <c r="AC43" i="5"/>
  <c r="I43" i="6"/>
  <c r="C95" i="5"/>
  <c r="F95" i="5"/>
  <c r="AB44" i="5"/>
  <c r="U55" i="5"/>
  <c r="Y55" i="5" s="1"/>
  <c r="M94" i="5" l="1"/>
  <c r="Q94" i="5" s="1"/>
  <c r="L95" i="5" s="1"/>
  <c r="C96" i="5"/>
  <c r="E44" i="5"/>
  <c r="E44" i="6" s="1"/>
  <c r="D44" i="6"/>
  <c r="F96" i="5"/>
  <c r="T56" i="5"/>
  <c r="AF55" i="5"/>
  <c r="C97" i="5" l="1"/>
  <c r="I44" i="5"/>
  <c r="M95" i="5"/>
  <c r="Q95" i="5" s="1"/>
  <c r="L96" i="5" s="1"/>
  <c r="F97" i="5"/>
  <c r="AB45" i="5"/>
  <c r="U56" i="5"/>
  <c r="Y56" i="5" s="1"/>
  <c r="M96" i="5" l="1"/>
  <c r="Q96" i="5" s="1"/>
  <c r="L97" i="5" s="1"/>
  <c r="D45" i="5"/>
  <c r="AC44" i="5"/>
  <c r="I44" i="6"/>
  <c r="F98" i="5"/>
  <c r="C98" i="5"/>
  <c r="AF56" i="5"/>
  <c r="T57" i="5"/>
  <c r="F99" i="5" l="1"/>
  <c r="C99" i="5"/>
  <c r="D45" i="6"/>
  <c r="E45" i="5"/>
  <c r="E45" i="6" s="1"/>
  <c r="M97" i="5"/>
  <c r="Q97" i="5" s="1"/>
  <c r="L98" i="5" s="1"/>
  <c r="AB46" i="5"/>
  <c r="U57" i="5"/>
  <c r="Y57" i="5" s="1"/>
  <c r="I45" i="5" l="1"/>
  <c r="I45" i="6" s="1"/>
  <c r="D46" i="5"/>
  <c r="AC45" i="5"/>
  <c r="M98" i="5"/>
  <c r="Q98" i="5" s="1"/>
  <c r="L99" i="5" s="1"/>
  <c r="AF57" i="5"/>
  <c r="T58" i="5"/>
  <c r="M99" i="5" l="1"/>
  <c r="Q99" i="5" s="1"/>
  <c r="E46" i="5"/>
  <c r="E46" i="6" s="1"/>
  <c r="D46" i="6"/>
  <c r="AB47" i="5"/>
  <c r="U58" i="5"/>
  <c r="Y58" i="5" s="1"/>
  <c r="I46" i="5" l="1"/>
  <c r="I46" i="6" s="1"/>
  <c r="D47" i="5"/>
  <c r="AC46" i="5"/>
  <c r="AF58" i="5"/>
  <c r="T59" i="5"/>
  <c r="D47" i="6" l="1"/>
  <c r="E47" i="5"/>
  <c r="E47" i="6" s="1"/>
  <c r="AB48" i="5"/>
  <c r="U59" i="5"/>
  <c r="Y59" i="5" s="1"/>
  <c r="I47" i="5" l="1"/>
  <c r="AF59" i="5"/>
  <c r="T60" i="5"/>
  <c r="I47" i="6" l="1"/>
  <c r="D48" i="5"/>
  <c r="AC47" i="5"/>
  <c r="AB49" i="5"/>
  <c r="U60" i="5"/>
  <c r="Y60" i="5" s="1"/>
  <c r="D48" i="6" l="1"/>
  <c r="E48" i="5"/>
  <c r="E48" i="6" s="1"/>
  <c r="T61" i="5"/>
  <c r="AF60" i="5"/>
  <c r="I48" i="5" l="1"/>
  <c r="AB50" i="5"/>
  <c r="U61" i="5"/>
  <c r="Y61" i="5" s="1"/>
  <c r="I48" i="6" l="1"/>
  <c r="AC48" i="5"/>
  <c r="D49" i="5"/>
  <c r="T62" i="5"/>
  <c r="AF61" i="5"/>
  <c r="E49" i="5" l="1"/>
  <c r="E49" i="6" s="1"/>
  <c r="D49" i="6"/>
  <c r="AB51" i="5"/>
  <c r="U62" i="5"/>
  <c r="Y62" i="5" s="1"/>
  <c r="I49" i="5" l="1"/>
  <c r="T63" i="5"/>
  <c r="AF62" i="5"/>
  <c r="I49" i="6" l="1"/>
  <c r="AC49" i="5"/>
  <c r="D50" i="5"/>
  <c r="AB52" i="5"/>
  <c r="U63" i="5"/>
  <c r="Y63" i="5" s="1"/>
  <c r="D50" i="6" l="1"/>
  <c r="E50" i="5"/>
  <c r="E50" i="6" s="1"/>
  <c r="T64" i="5"/>
  <c r="AF63" i="5"/>
  <c r="I50" i="5" l="1"/>
  <c r="AB53" i="5"/>
  <c r="U64" i="5"/>
  <c r="Y64" i="5" s="1"/>
  <c r="I50" i="6" l="1"/>
  <c r="D51" i="5"/>
  <c r="AC50" i="5"/>
  <c r="T65" i="5"/>
  <c r="AF64" i="5"/>
  <c r="D51" i="6" l="1"/>
  <c r="E51" i="5"/>
  <c r="E51" i="6" s="1"/>
  <c r="AB54" i="5"/>
  <c r="U65" i="5"/>
  <c r="Y65" i="5" s="1"/>
  <c r="I51" i="5" l="1"/>
  <c r="T66" i="5"/>
  <c r="AF65" i="5"/>
  <c r="I51" i="6" l="1"/>
  <c r="AC51" i="5"/>
  <c r="D52" i="5"/>
  <c r="AB55" i="5"/>
  <c r="U66" i="5"/>
  <c r="Y66" i="5" s="1"/>
  <c r="D52" i="6" l="1"/>
  <c r="E52" i="5"/>
  <c r="E52" i="6" s="1"/>
  <c r="T67" i="5"/>
  <c r="AF66" i="5"/>
  <c r="I52" i="5" l="1"/>
  <c r="U67" i="5"/>
  <c r="Y67" i="5" s="1"/>
  <c r="AC52" i="5" l="1"/>
  <c r="I52" i="6"/>
  <c r="D53" i="5"/>
  <c r="AB56" i="5"/>
  <c r="T68" i="5"/>
  <c r="AF67" i="5"/>
  <c r="E53" i="5" l="1"/>
  <c r="E53" i="6" s="1"/>
  <c r="D53" i="6"/>
  <c r="U68" i="5"/>
  <c r="Y68" i="5" s="1"/>
  <c r="I53" i="5" l="1"/>
  <c r="I53" i="6" s="1"/>
  <c r="AB57" i="5"/>
  <c r="T69" i="5"/>
  <c r="AF68" i="5"/>
  <c r="D54" i="5" l="1"/>
  <c r="D54" i="6" s="1"/>
  <c r="AC53" i="5"/>
  <c r="U69" i="5"/>
  <c r="Y69" i="5" s="1"/>
  <c r="E54" i="5" l="1"/>
  <c r="E54" i="6" s="1"/>
  <c r="AF69" i="5"/>
  <c r="T70" i="5"/>
  <c r="I54" i="5" l="1"/>
  <c r="AC54" i="5" s="1"/>
  <c r="AB58" i="5"/>
  <c r="U70" i="5"/>
  <c r="Y70" i="5" s="1"/>
  <c r="I54" i="6" l="1"/>
  <c r="D55" i="5"/>
  <c r="T71" i="5"/>
  <c r="AF70" i="5"/>
  <c r="D55" i="6" l="1"/>
  <c r="E55" i="5"/>
  <c r="AB59" i="5"/>
  <c r="U71" i="5"/>
  <c r="Y71" i="5" s="1"/>
  <c r="E55" i="6" l="1"/>
  <c r="I55" i="5"/>
  <c r="T72" i="5"/>
  <c r="AF71" i="5"/>
  <c r="D56" i="5" l="1"/>
  <c r="I55" i="6"/>
  <c r="AC55" i="5"/>
  <c r="U72" i="5"/>
  <c r="Y72" i="5" s="1"/>
  <c r="E56" i="5" l="1"/>
  <c r="E56" i="6" s="1"/>
  <c r="D56" i="6"/>
  <c r="I56" i="5"/>
  <c r="T73" i="5"/>
  <c r="AF72" i="5"/>
  <c r="I56" i="6" l="1"/>
  <c r="D57" i="5"/>
  <c r="AC56" i="5"/>
  <c r="U73" i="5"/>
  <c r="Y73" i="5" s="1"/>
  <c r="E57" i="5" l="1"/>
  <c r="E57" i="6" s="1"/>
  <c r="D57" i="6"/>
  <c r="T74" i="5"/>
  <c r="AF73" i="5"/>
  <c r="I57" i="5" l="1"/>
  <c r="U74" i="5"/>
  <c r="Y74" i="5" s="1"/>
  <c r="AC57" i="5" l="1"/>
  <c r="D58" i="5"/>
  <c r="I57" i="6"/>
  <c r="T75" i="5"/>
  <c r="AF74" i="5"/>
  <c r="D58" i="6" l="1"/>
  <c r="E58" i="5"/>
  <c r="E58" i="6" s="1"/>
  <c r="U75" i="5"/>
  <c r="Y75" i="5" s="1"/>
  <c r="I58" i="5" l="1"/>
  <c r="D60" i="5"/>
  <c r="T76" i="5"/>
  <c r="AF75" i="5"/>
  <c r="I58" i="6" l="1"/>
  <c r="D59" i="5"/>
  <c r="AC58" i="5"/>
  <c r="E60" i="5"/>
  <c r="U76" i="5"/>
  <c r="Y76" i="5" s="1"/>
  <c r="E59" i="5" l="1"/>
  <c r="E59" i="6" s="1"/>
  <c r="D59" i="6"/>
  <c r="I60" i="5"/>
  <c r="T77" i="5"/>
  <c r="AF76" i="5"/>
  <c r="I59" i="5" l="1"/>
  <c r="D61" i="5"/>
  <c r="AC60" i="5"/>
  <c r="U77" i="5"/>
  <c r="Y77" i="5" s="1"/>
  <c r="I59" i="6" l="1"/>
  <c r="AC59" i="5"/>
  <c r="E61" i="5"/>
  <c r="I61" i="5"/>
  <c r="T78" i="5"/>
  <c r="AF77" i="5"/>
  <c r="AC61" i="5" l="1"/>
  <c r="D62" i="5"/>
  <c r="U78" i="5"/>
  <c r="Y78" i="5" s="1"/>
  <c r="E62" i="5" l="1"/>
  <c r="T79" i="5"/>
  <c r="AF78" i="5"/>
  <c r="I62" i="5" l="1"/>
  <c r="D63" i="5"/>
  <c r="AC62" i="5"/>
  <c r="U79" i="5"/>
  <c r="Y79" i="5" s="1"/>
  <c r="E63" i="5" l="1"/>
  <c r="I63" i="5"/>
  <c r="AF79" i="5"/>
  <c r="T80" i="5"/>
  <c r="D64" i="5" l="1"/>
  <c r="AC63" i="5"/>
  <c r="U80" i="5"/>
  <c r="Y80" i="5" s="1"/>
  <c r="T81" i="5" l="1"/>
  <c r="AF80" i="5"/>
  <c r="E64" i="5"/>
  <c r="I64" i="5" l="1"/>
  <c r="U81" i="5"/>
  <c r="Y81" i="5" s="1"/>
  <c r="T82" i="5" l="1"/>
  <c r="AF81" i="5"/>
  <c r="D65" i="5"/>
  <c r="AC64" i="5"/>
  <c r="E65" i="5" l="1"/>
  <c r="I65" i="5"/>
  <c r="U82" i="5"/>
  <c r="Y82" i="5" s="1"/>
  <c r="T83" i="5" l="1"/>
  <c r="AF82" i="5"/>
  <c r="AC65" i="5"/>
  <c r="D66" i="5"/>
  <c r="E66" i="5" l="1"/>
  <c r="U83" i="5"/>
  <c r="Y83" i="5" s="1"/>
  <c r="T84" i="5" l="1"/>
  <c r="AF83" i="5"/>
  <c r="I66" i="5"/>
  <c r="AC66" i="5" l="1"/>
  <c r="D67" i="5"/>
  <c r="U84" i="5"/>
  <c r="Y84" i="5" s="1"/>
  <c r="T85" i="5" l="1"/>
  <c r="AF84" i="5"/>
  <c r="E67" i="5"/>
  <c r="I67" i="5" l="1"/>
  <c r="U85" i="5"/>
  <c r="Y85" i="5" s="1"/>
  <c r="T86" i="5" l="1"/>
  <c r="AF85" i="5"/>
  <c r="D68" i="5"/>
  <c r="AC67" i="5"/>
  <c r="E68" i="5" l="1"/>
  <c r="I68" i="5"/>
  <c r="U86" i="5"/>
  <c r="Y86" i="5" s="1"/>
  <c r="T87" i="5" l="1"/>
  <c r="AF86" i="5"/>
  <c r="D69" i="5"/>
  <c r="AC68" i="5"/>
  <c r="E69" i="5" l="1"/>
  <c r="U87" i="5"/>
  <c r="Y87" i="5" s="1"/>
  <c r="T88" i="5" l="1"/>
  <c r="AF87" i="5"/>
  <c r="I69" i="5"/>
  <c r="AC69" i="5" l="1"/>
  <c r="D70" i="5"/>
  <c r="U88" i="5"/>
  <c r="Y88" i="5" s="1"/>
  <c r="T89" i="5" l="1"/>
  <c r="AF88" i="5"/>
  <c r="E70" i="5"/>
  <c r="I70" i="5" l="1"/>
  <c r="U89" i="5"/>
  <c r="Y89" i="5" s="1"/>
  <c r="T90" i="5" l="1"/>
  <c r="AF89" i="5"/>
  <c r="D71" i="5"/>
  <c r="AC70" i="5"/>
  <c r="E71" i="5" l="1"/>
  <c r="U90" i="5"/>
  <c r="Y90" i="5" s="1"/>
  <c r="T91" i="5" l="1"/>
  <c r="AF90" i="5"/>
  <c r="I71" i="5"/>
  <c r="D72" i="5" l="1"/>
  <c r="AC71" i="5"/>
  <c r="U91" i="5"/>
  <c r="Y91" i="5" s="1"/>
  <c r="T92" i="5" l="1"/>
  <c r="AF91" i="5"/>
  <c r="E72" i="5"/>
  <c r="I72" i="5" l="1"/>
  <c r="U92" i="5"/>
  <c r="Y92" i="5" s="1"/>
  <c r="T93" i="5" l="1"/>
  <c r="AF92" i="5"/>
  <c r="D73" i="5"/>
  <c r="AC72" i="5"/>
  <c r="E73" i="5" l="1"/>
  <c r="I73" i="5"/>
  <c r="U93" i="5"/>
  <c r="Y93" i="5" s="1"/>
  <c r="T94" i="5" l="1"/>
  <c r="AF93" i="5"/>
  <c r="D74" i="5"/>
  <c r="AC73" i="5"/>
  <c r="E74" i="5" l="1"/>
  <c r="U94" i="5"/>
  <c r="Y94" i="5" s="1"/>
  <c r="T95" i="5" l="1"/>
  <c r="AF94" i="5"/>
  <c r="I74" i="5"/>
  <c r="AC74" i="5" l="1"/>
  <c r="D75" i="5"/>
  <c r="U95" i="5"/>
  <c r="Y95" i="5" s="1"/>
  <c r="T96" i="5" l="1"/>
  <c r="AF95" i="5"/>
  <c r="E75" i="5"/>
  <c r="I75" i="5" l="1"/>
  <c r="U96" i="5"/>
  <c r="Y96" i="5" s="1"/>
  <c r="T97" i="5" l="1"/>
  <c r="AF96" i="5"/>
  <c r="D76" i="5"/>
  <c r="AC75" i="5"/>
  <c r="E76" i="5" l="1"/>
  <c r="I76" i="5"/>
  <c r="U97" i="5"/>
  <c r="Y97" i="5" s="1"/>
  <c r="T98" i="5" l="1"/>
  <c r="AF97" i="5"/>
  <c r="D77" i="5"/>
  <c r="AC76" i="5"/>
  <c r="E77" i="5" l="1"/>
  <c r="U98" i="5"/>
  <c r="Y98" i="5" s="1"/>
  <c r="T99" i="5" l="1"/>
  <c r="AF98" i="5"/>
  <c r="I77" i="5"/>
  <c r="AC77" i="5" l="1"/>
  <c r="D78" i="5"/>
  <c r="U99" i="5"/>
  <c r="Y99" i="5" s="1"/>
  <c r="AF99" i="5" s="1"/>
  <c r="E78" i="5" l="1"/>
  <c r="I78" i="5" l="1"/>
  <c r="AC78" i="5" l="1"/>
  <c r="D79" i="5"/>
  <c r="E79" i="5" l="1"/>
  <c r="I79" i="5" l="1"/>
  <c r="D80" i="5" l="1"/>
  <c r="AC79" i="5"/>
  <c r="E80" i="5" l="1"/>
  <c r="I80" i="5" l="1"/>
  <c r="D81" i="5" l="1"/>
  <c r="AC80" i="5"/>
  <c r="E81" i="5" l="1"/>
  <c r="I81" i="5" l="1"/>
  <c r="D82" i="5" l="1"/>
  <c r="AC81" i="5"/>
  <c r="E82" i="5" l="1"/>
  <c r="I82" i="5" l="1"/>
  <c r="D83" i="5" l="1"/>
  <c r="AC82" i="5"/>
  <c r="E83" i="5" l="1"/>
  <c r="I83" i="5" l="1"/>
  <c r="D84" i="5" l="1"/>
  <c r="AC83" i="5"/>
  <c r="E84" i="5" l="1"/>
  <c r="I84" i="5" l="1"/>
  <c r="D85" i="5" l="1"/>
  <c r="AC84" i="5"/>
  <c r="E85" i="5" l="1"/>
  <c r="I85" i="5" l="1"/>
  <c r="D86" i="5" l="1"/>
  <c r="AC85" i="5"/>
  <c r="E86" i="5" l="1"/>
  <c r="I86" i="5" l="1"/>
  <c r="D87" i="5" l="1"/>
  <c r="AC86" i="5"/>
  <c r="E87" i="5" l="1"/>
  <c r="I87" i="5" l="1"/>
  <c r="D88" i="5" l="1"/>
  <c r="AC87" i="5"/>
  <c r="E88" i="5" l="1"/>
  <c r="I88" i="5" l="1"/>
  <c r="D89" i="5" l="1"/>
  <c r="AC88" i="5"/>
  <c r="E89" i="5" l="1"/>
  <c r="I89" i="5" l="1"/>
  <c r="D90" i="5" l="1"/>
  <c r="AC89" i="5"/>
  <c r="E90" i="5" l="1"/>
  <c r="I90" i="5" l="1"/>
  <c r="D91" i="5" l="1"/>
  <c r="AC90" i="5"/>
  <c r="E91" i="5" l="1"/>
  <c r="I91" i="5" l="1"/>
  <c r="D92" i="5" l="1"/>
  <c r="AC91" i="5"/>
  <c r="E92" i="5" l="1"/>
  <c r="I92" i="5" l="1"/>
  <c r="D93" i="5" l="1"/>
  <c r="AC92" i="5"/>
  <c r="E93" i="5" l="1"/>
  <c r="I93" i="5" l="1"/>
  <c r="D94" i="5" l="1"/>
  <c r="AC93" i="5"/>
  <c r="E94" i="5" l="1"/>
  <c r="I94" i="5" l="1"/>
  <c r="D95" i="5" l="1"/>
  <c r="AC94" i="5"/>
  <c r="E95" i="5" l="1"/>
  <c r="I95" i="5" l="1"/>
  <c r="D96" i="5" l="1"/>
  <c r="AC95" i="5"/>
  <c r="E96" i="5" l="1"/>
  <c r="I96" i="5" l="1"/>
  <c r="D97" i="5" l="1"/>
  <c r="AC96" i="5"/>
  <c r="E97" i="5" l="1"/>
  <c r="I97" i="5" l="1"/>
  <c r="D98" i="5" l="1"/>
  <c r="AC97" i="5"/>
  <c r="E98" i="5" l="1"/>
  <c r="I98" i="5" l="1"/>
  <c r="D99" i="5" l="1"/>
  <c r="AC98" i="5"/>
  <c r="E99" i="5" l="1"/>
  <c r="I99" i="5" l="1"/>
  <c r="AC99" i="5" l="1"/>
  <c r="E8" i="5" l="1"/>
  <c r="G13" i="5" s="1"/>
  <c r="E4" i="5"/>
  <c r="F3" i="5" a="1"/>
  <c r="F3" i="5" s="1"/>
  <c r="F7" i="5" l="1"/>
  <c r="I11" i="5"/>
  <c r="F6" i="5"/>
  <c r="G12" i="5"/>
  <c r="G9" i="5"/>
  <c r="I10" i="5"/>
  <c r="G11" i="5"/>
  <c r="G10" i="5"/>
  <c r="I9" i="5"/>
  <c r="I12" i="5"/>
  <c r="B2" i="6" l="1"/>
  <c r="I6" i="5"/>
  <c r="I7" i="5"/>
</calcChain>
</file>

<file path=xl/sharedStrings.xml><?xml version="1.0" encoding="utf-8"?>
<sst xmlns="http://schemas.openxmlformats.org/spreadsheetml/2006/main" count="68" uniqueCount="51">
  <si>
    <t>Retirement planner</t>
  </si>
  <si>
    <t xml:space="preserve"> </t>
  </si>
  <si>
    <t>Input</t>
  </si>
  <si>
    <t>Now</t>
  </si>
  <si>
    <t>At retirement</t>
  </si>
  <si>
    <t>Uncertainty</t>
  </si>
  <si>
    <t>Your current age</t>
  </si>
  <si>
    <t>Annual pension benefit ($)</t>
  </si>
  <si>
    <t>Investment return uncertainty (%)</t>
  </si>
  <si>
    <t>Annual income ($)</t>
  </si>
  <si>
    <t>Annual pension benefit increases (%)</t>
  </si>
  <si>
    <t>Annual savings amount uncertainty (%)</t>
  </si>
  <si>
    <t>Annual inflation and income increases (%)</t>
  </si>
  <si>
    <t>Desired retirement age</t>
  </si>
  <si>
    <t>Annual savings increases uncertainty (%)</t>
  </si>
  <si>
    <t>Retirement savings balance ($)</t>
  </si>
  <si>
    <t>Number of years of retirement income</t>
  </si>
  <si>
    <t>Annual pension benefit amount uncertainty (%)</t>
  </si>
  <si>
    <t>Annual savings amount ($)</t>
  </si>
  <si>
    <t>Income replacement (%)</t>
  </si>
  <si>
    <t>Annual pension benefit increases uncertainty (%)</t>
  </si>
  <si>
    <t>Annual savings increases (%)</t>
  </si>
  <si>
    <t>Investment return (%)</t>
  </si>
  <si>
    <t>Chart details</t>
  </si>
  <si>
    <t>Age</t>
  </si>
  <si>
    <t>Salary</t>
  </si>
  <si>
    <t>Balance</t>
  </si>
  <si>
    <t>Interest</t>
  </si>
  <si>
    <t>Yearly savings</t>
  </si>
  <si>
    <t>Desired retirement income</t>
  </si>
  <si>
    <t>Pension income</t>
  </si>
  <si>
    <t>Year ending balance</t>
  </si>
  <si>
    <t>Notes</t>
  </si>
  <si>
    <t>Calculations</t>
  </si>
  <si>
    <t>This sheet should remain hidden. Any modifications may result in errors in the Retirement Planner.</t>
  </si>
  <si>
    <t>Failure Template:</t>
  </si>
  <si>
    <t>Oops. This plan will only provide income to age [AGE]. You'll need to make some modifications.</t>
  </si>
  <si>
    <t>Success Template:</t>
  </si>
  <si>
    <t>Congratulations! Your plan seems to work. At age [AGE], you will still have a savings balance of [BALANCE].</t>
  </si>
  <si>
    <t>Failure display:</t>
  </si>
  <si>
    <t>Success display:</t>
  </si>
  <si>
    <t>Success:</t>
  </si>
  <si>
    <t>Success</t>
  </si>
  <si>
    <t>Failure</t>
  </si>
  <si>
    <t>End balance</t>
  </si>
  <si>
    <t>Yearly Savings</t>
  </si>
  <si>
    <t>Desired Retirement Income</t>
  </si>
  <si>
    <t>Pension Income</t>
  </si>
  <si>
    <t>End Balance</t>
  </si>
  <si>
    <t>Saving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</si>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</sst>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4" formatCode="&quot;$&quot;#,##0"/>
    <numFmt numFmtId="165" formatCode=";;;"/>
  </numFmts>
  <fonts count="22">
    <font>
      <sz val="12"/>
      <name val="Lucida Sans"/>
      <family val="2"/>
      <scheme val="minor"/>
    </font>
    <font>
      <sz val="11"/>
      <color theme="1"/>
      <name val="Lucida Sans"/>
      <family val="2"/>
      <scheme val="minor"/>
    </font>
    <font>
      <sz val="10"/>
      <color theme="1"/>
      <name val="Lucida Sans"/>
      <family val="2"/>
      <scheme val="minor"/>
    </font>
    <font>
      <sz val="11"/>
      <color theme="4" tint="-0.499984740745262"/>
      <name val="Lucida Sans"/>
      <family val="2"/>
      <scheme val="minor"/>
    </font>
    <font>
      <sz val="11"/>
      <color theme="0"/>
      <name val="Lucida Sans"/>
      <family val="2"/>
      <scheme val="minor"/>
    </font>
    <font>
      <sz val="11"/>
      <color theme="1" tint="0.24994659260841701"/>
      <name val="Lucida Sans"/>
      <family val="2"/>
      <scheme val="minor"/>
    </font>
    <font>
      <b/>
      <sz val="18"/>
      <color theme="4"/>
      <name val="Segoe UI Semibold"/>
      <family val="1"/>
      <scheme val="major"/>
    </font>
    <font>
      <sz val="32"/>
      <color theme="0"/>
      <name val="Segoe UI Semibold"/>
      <family val="2"/>
      <scheme val="major"/>
    </font>
    <font>
      <sz val="15"/>
      <name val="Segoe UI Semibold"/>
      <family val="1"/>
      <scheme val="major"/>
    </font>
    <font>
      <b/>
      <sz val="12"/>
      <name val="Segoe UI Semibold"/>
      <family val="1"/>
      <scheme val="major"/>
    </font>
    <font>
      <sz val="12"/>
      <name val="Lucida Sans"/>
      <family val="2"/>
      <scheme val="minor"/>
    </font>
    <font>
      <sz val="24"/>
      <name val="Lucida Sans"/>
      <family val="2"/>
      <scheme val="minor"/>
    </font>
    <font>
      <sz val="12"/>
      <color theme="1"/>
      <name val="Lucida Sans"/>
      <family val="2"/>
      <scheme val="minor"/>
    </font>
    <font>
      <sz val="12"/>
      <color theme="4" tint="-0.499984740745262"/>
      <name val="Lucida Sans"/>
      <family val="2"/>
      <scheme val="minor"/>
    </font>
    <font>
      <sz val="36"/>
      <color theme="2" tint="-0.749992370372631"/>
      <name val="Lucida Sans"/>
      <family val="2"/>
      <scheme val="minor"/>
    </font>
    <font>
      <sz val="24"/>
      <color theme="2" tint="-0.749992370372631"/>
      <name val="Lucida Sans"/>
      <family val="2"/>
      <scheme val="minor"/>
    </font>
    <font>
      <sz val="82"/>
      <color theme="2" tint="-0.749992370372631"/>
      <name val="Segoe UI Semibold"/>
      <family val="1"/>
      <scheme val="major"/>
    </font>
    <font>
      <sz val="36"/>
      <color theme="2" tint="-0.749992370372631"/>
      <name val="Segoe UI Semibold"/>
      <family val="1"/>
      <scheme val="major"/>
    </font>
    <font>
      <sz val="24"/>
      <color theme="0"/>
      <name val="Segoe UI Semibold"/>
      <family val="2"/>
      <scheme val="major"/>
    </font>
    <font>
      <sz val="18"/>
      <color theme="0"/>
      <name val="Segoe UI Semibold"/>
      <family val="2"/>
      <scheme val="major"/>
    </font>
    <font>
      <b/>
      <sz val="18"/>
      <color theme="4"/>
      <name val="Lucida Sans"/>
      <family val="2"/>
      <scheme val="minor"/>
    </font>
    <font>
      <sz val="14"/>
      <name val="Segoe UI Semibold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theme="7" tint="0.79998168889431442"/>
      </patternFill>
    </fill>
  </fills>
  <borders count="19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0"/>
      </right>
      <top/>
      <bottom style="thin">
        <color theme="2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2" tint="-0.499984740745262"/>
      </bottom>
      <diagonal/>
    </border>
    <border>
      <left/>
      <right style="thin">
        <color theme="0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/>
      </left>
      <right style="thin">
        <color theme="0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theme="0"/>
      </left>
      <right style="thin">
        <color theme="0"/>
      </right>
      <top style="thin">
        <color theme="2" tint="-0.499984740745262"/>
      </top>
      <bottom/>
      <diagonal/>
    </border>
    <border>
      <left style="thin">
        <color theme="0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0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0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0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</borders>
  <cellStyleXfs count="13">
    <xf numFmtId="164" fontId="0" fillId="0" borderId="0">
      <alignment horizontal="right" vertical="center"/>
    </xf>
    <xf numFmtId="0" fontId="6" fillId="0" borderId="0">
      <alignment horizontal="left" vertical="center"/>
    </xf>
    <xf numFmtId="0" fontId="9" fillId="0" borderId="0">
      <alignment horizontal="right" vertical="center" wrapText="1"/>
    </xf>
    <xf numFmtId="0" fontId="9" fillId="0" borderId="0">
      <alignment horizontal="center" vertical="center" wrapText="1"/>
    </xf>
    <xf numFmtId="0" fontId="10" fillId="0" borderId="0">
      <alignment horizontal="center" vertical="center"/>
    </xf>
    <xf numFmtId="0" fontId="7" fillId="4" borderId="0">
      <alignment horizontal="center" vertical="center"/>
    </xf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5" borderId="0">
      <alignment horizontal="center" vertical="center"/>
    </xf>
    <xf numFmtId="0" fontId="4" fillId="0" borderId="0" applyNumberFormat="0" applyFill="0" applyBorder="0" applyProtection="0">
      <alignment vertical="center"/>
    </xf>
    <xf numFmtId="14" fontId="5" fillId="0" borderId="0" applyFont="0" applyFill="0" applyBorder="0">
      <alignment horizontal="left" vertical="center"/>
    </xf>
    <xf numFmtId="0" fontId="9" fillId="3" borderId="1" applyNumberFormat="0" applyProtection="0">
      <alignment horizontal="center" vertical="center"/>
    </xf>
  </cellStyleXfs>
  <cellXfs count="49">
    <xf numFmtId="164" fontId="0" fillId="0" borderId="0" xfId="0">
      <alignment horizontal="right" vertical="center"/>
    </xf>
    <xf numFmtId="164" fontId="11" fillId="0" borderId="0" xfId="0" applyFont="1">
      <alignment horizontal="right" vertical="center"/>
    </xf>
    <xf numFmtId="164" fontId="11" fillId="6" borderId="0" xfId="0" applyFont="1" applyFill="1">
      <alignment horizontal="right" vertical="center"/>
    </xf>
    <xf numFmtId="164" fontId="2" fillId="0" borderId="0" xfId="0" applyFont="1" applyAlignment="1">
      <alignment horizontal="left" vertical="center"/>
    </xf>
    <xf numFmtId="3" fontId="12" fillId="7" borderId="4" xfId="6" applyFont="1" applyFill="1" applyBorder="1" applyAlignment="1">
      <alignment horizontal="right" vertical="center" indent="1"/>
    </xf>
    <xf numFmtId="10" fontId="12" fillId="7" borderId="12" xfId="8" applyFont="1" applyFill="1" applyBorder="1" applyAlignment="1">
      <alignment horizontal="right" vertical="center" indent="1"/>
    </xf>
    <xf numFmtId="3" fontId="12" fillId="7" borderId="2" xfId="6" applyFont="1" applyFill="1" applyBorder="1" applyAlignment="1">
      <alignment horizontal="right" vertical="center" indent="1"/>
    </xf>
    <xf numFmtId="10" fontId="12" fillId="7" borderId="2" xfId="8" applyFont="1" applyFill="1" applyBorder="1" applyAlignment="1">
      <alignment horizontal="right" vertical="center" indent="1"/>
    </xf>
    <xf numFmtId="10" fontId="12" fillId="7" borderId="13" xfId="8" applyFont="1" applyFill="1" applyBorder="1" applyAlignment="1">
      <alignment horizontal="right" vertical="center" indent="1"/>
    </xf>
    <xf numFmtId="164" fontId="13" fillId="8" borderId="9" xfId="0" applyFont="1" applyFill="1" applyBorder="1" applyAlignment="1">
      <alignment horizontal="right" vertical="center" indent="1"/>
    </xf>
    <xf numFmtId="164" fontId="13" fillId="8" borderId="14" xfId="0" applyFont="1" applyFill="1" applyBorder="1">
      <alignment horizontal="right" vertical="center"/>
    </xf>
    <xf numFmtId="164" fontId="13" fillId="8" borderId="4" xfId="0" applyFont="1" applyFill="1" applyBorder="1" applyAlignment="1">
      <alignment horizontal="left" vertical="center" indent="1"/>
    </xf>
    <xf numFmtId="164" fontId="13" fillId="8" borderId="4" xfId="0" applyFont="1" applyFill="1" applyBorder="1">
      <alignment horizontal="right" vertical="center"/>
    </xf>
    <xf numFmtId="164" fontId="13" fillId="8" borderId="4" xfId="0" applyFont="1" applyFill="1" applyBorder="1" applyAlignment="1">
      <alignment horizontal="right" vertical="center" indent="1"/>
    </xf>
    <xf numFmtId="164" fontId="13" fillId="8" borderId="15" xfId="0" applyFont="1" applyFill="1" applyBorder="1">
      <alignment horizontal="right" vertical="center"/>
    </xf>
    <xf numFmtId="164" fontId="0" fillId="6" borderId="0" xfId="0" applyFill="1">
      <alignment horizontal="right" vertical="center"/>
    </xf>
    <xf numFmtId="164" fontId="0" fillId="6" borderId="0" xfId="0" applyFill="1" applyAlignment="1">
      <alignment horizontal="right"/>
    </xf>
    <xf numFmtId="0" fontId="14" fillId="6" borderId="0" xfId="1" applyFont="1" applyFill="1" applyAlignment="1">
      <alignment vertical="center"/>
    </xf>
    <xf numFmtId="0" fontId="15" fillId="6" borderId="0" xfId="1" applyFont="1" applyFill="1" applyAlignment="1">
      <alignment vertical="center"/>
    </xf>
    <xf numFmtId="164" fontId="0" fillId="0" borderId="0" xfId="0" applyAlignment="1">
      <alignment horizontal="right"/>
    </xf>
    <xf numFmtId="0" fontId="17" fillId="6" borderId="0" xfId="1" applyFont="1" applyFill="1" applyAlignment="1">
      <alignment vertical="center"/>
    </xf>
    <xf numFmtId="3" fontId="20" fillId="0" borderId="0" xfId="1" applyNumberFormat="1" applyFont="1">
      <alignment horizontal="left" vertical="center"/>
    </xf>
    <xf numFmtId="164" fontId="0" fillId="0" borderId="0" xfId="0" applyAlignment="1">
      <alignment horizontal="left" vertical="center"/>
    </xf>
    <xf numFmtId="164" fontId="0" fillId="0" borderId="0" xfId="0" quotePrefix="1">
      <alignment horizontal="right" vertical="center"/>
    </xf>
    <xf numFmtId="8" fontId="0" fillId="2" borderId="0" xfId="0" applyNumberFormat="1" applyFill="1">
      <alignment horizontal="right" vertical="center"/>
    </xf>
    <xf numFmtId="164" fontId="0" fillId="2" borderId="0" xfId="0" applyFill="1">
      <alignment horizontal="right" vertical="center"/>
    </xf>
    <xf numFmtId="8" fontId="0" fillId="0" borderId="0" xfId="0" applyNumberFormat="1">
      <alignment horizontal="right" vertical="center"/>
    </xf>
    <xf numFmtId="3" fontId="0" fillId="0" borderId="0" xfId="0" applyNumberFormat="1">
      <alignment horizontal="right" vertical="center"/>
    </xf>
    <xf numFmtId="0" fontId="0" fillId="0" borderId="0" xfId="4" applyFont="1">
      <alignment horizontal="center" vertical="center"/>
    </xf>
    <xf numFmtId="164" fontId="0" fillId="0" borderId="0" xfId="0" applyAlignment="1">
      <alignment horizontal="right" vertical="center" indent="1"/>
    </xf>
    <xf numFmtId="0" fontId="21" fillId="0" borderId="0" xfId="3" applyFont="1">
      <alignment horizontal="center" vertical="center" wrapText="1"/>
    </xf>
    <xf numFmtId="0" fontId="21" fillId="0" borderId="0" xfId="2" applyFont="1" applyAlignment="1">
      <alignment horizontal="right" vertical="center" wrapText="1" indent="1"/>
    </xf>
    <xf numFmtId="0" fontId="12" fillId="8" borderId="5" xfId="3" applyFont="1" applyFill="1" applyBorder="1" applyAlignment="1">
      <alignment horizontal="right" vertical="center" wrapText="1" indent="1"/>
    </xf>
    <xf numFmtId="0" fontId="12" fillId="8" borderId="6" xfId="3" applyFont="1" applyFill="1" applyBorder="1" applyAlignment="1">
      <alignment horizontal="right" vertical="center" wrapText="1" indent="1"/>
    </xf>
    <xf numFmtId="0" fontId="12" fillId="8" borderId="7" xfId="3" applyFont="1" applyFill="1" applyBorder="1" applyAlignment="1">
      <alignment horizontal="right" vertical="center" wrapText="1" indent="1"/>
    </xf>
    <xf numFmtId="0" fontId="12" fillId="8" borderId="8" xfId="3" applyFont="1" applyFill="1" applyBorder="1" applyAlignment="1">
      <alignment horizontal="right" vertical="center" wrapText="1" indent="1"/>
    </xf>
    <xf numFmtId="0" fontId="12" fillId="8" borderId="3" xfId="3" applyFont="1" applyFill="1" applyBorder="1" applyAlignment="1">
      <alignment horizontal="left" vertical="center" wrapText="1" indent="1"/>
    </xf>
    <xf numFmtId="0" fontId="12" fillId="8" borderId="2" xfId="3" applyFont="1" applyFill="1" applyBorder="1" applyAlignment="1">
      <alignment horizontal="left" vertical="center" wrapText="1" indent="1"/>
    </xf>
    <xf numFmtId="0" fontId="12" fillId="8" borderId="18" xfId="3" applyFont="1" applyFill="1" applyBorder="1" applyAlignment="1">
      <alignment horizontal="left" vertical="center" wrapText="1" indent="1"/>
    </xf>
    <xf numFmtId="0" fontId="12" fillId="8" borderId="4" xfId="3" applyFont="1" applyFill="1" applyBorder="1" applyAlignment="1">
      <alignment horizontal="left" vertical="center" wrapText="1" indent="1"/>
    </xf>
    <xf numFmtId="0" fontId="16" fillId="6" borderId="0" xfId="5" applyFont="1" applyFill="1" applyAlignment="1">
      <alignment horizontal="center" vertical="center"/>
    </xf>
    <xf numFmtId="0" fontId="17" fillId="6" borderId="4" xfId="1" applyFont="1" applyFill="1" applyBorder="1" applyAlignment="1">
      <alignment vertical="center"/>
    </xf>
    <xf numFmtId="0" fontId="19" fillId="9" borderId="17" xfId="12" applyFont="1" applyFill="1" applyBorder="1" applyAlignment="1">
      <alignment horizontal="center" vertical="center"/>
    </xf>
    <xf numFmtId="0" fontId="19" fillId="9" borderId="9" xfId="12" applyFont="1" applyFill="1" applyBorder="1" applyAlignment="1">
      <alignment horizontal="center" vertical="center"/>
    </xf>
    <xf numFmtId="0" fontId="19" fillId="9" borderId="16" xfId="12" applyFont="1" applyFill="1" applyBorder="1" applyAlignment="1">
      <alignment horizontal="center" vertical="center"/>
    </xf>
    <xf numFmtId="0" fontId="19" fillId="9" borderId="10" xfId="12" applyFont="1" applyFill="1" applyBorder="1" applyAlignment="1">
      <alignment horizontal="center" vertical="center"/>
    </xf>
    <xf numFmtId="0" fontId="19" fillId="9" borderId="11" xfId="12" applyFont="1" applyFill="1" applyBorder="1" applyAlignment="1">
      <alignment horizontal="center" vertical="center"/>
    </xf>
    <xf numFmtId="0" fontId="18" fillId="10" borderId="0" xfId="9" applyFont="1" applyFill="1" applyAlignment="1">
      <alignment horizontal="center" vertical="center"/>
    </xf>
    <xf numFmtId="165" fontId="1" fillId="0" borderId="0" xfId="10" applyNumberFormat="1" applyFont="1" applyAlignment="1">
      <alignment vertical="center"/>
    </xf>
  </cellXfs>
  <cellStyles count="13">
    <cellStyle name="Comma" xfId="6" builtinId="3" customBuiltin="1"/>
    <cellStyle name="Currency" xfId="7" builtinId="4" customBuiltin="1"/>
    <cellStyle name="Date" xfId="11" xr:uid="{B7631568-517E-41E4-BE40-284C6B5D2140}"/>
    <cellStyle name="Heading 1" xfId="1" builtinId="16" customBuiltin="1"/>
    <cellStyle name="Heading 2" xfId="2" builtinId="17" customBuiltin="1"/>
    <cellStyle name="Heading 3" xfId="3" builtinId="18" customBuiltin="1"/>
    <cellStyle name="Heading 4" xfId="12" builtinId="19" customBuiltin="1"/>
    <cellStyle name="Input" xfId="4" builtinId="20" customBuiltin="1"/>
    <cellStyle name="Normal" xfId="0" builtinId="0" customBuiltin="1"/>
    <cellStyle name="Note" xfId="10" builtinId="10" customBuiltin="1"/>
    <cellStyle name="Output" xfId="9" builtinId="21" customBuiltin="1"/>
    <cellStyle name="Percent" xfId="8" builtinId="5" customBuiltin="1"/>
    <cellStyle name="Title" xfId="5" builtinId="15" customBuiltin="1"/>
  </cellStyles>
  <dxfs count="13">
    <dxf>
      <font>
        <strike val="0"/>
        <outline val="0"/>
        <shadow val="0"/>
        <u val="none"/>
        <vertAlign val="baseline"/>
        <sz val="14"/>
        <color auto="1"/>
        <name val="Segoe UI Semibold"/>
        <family val="2"/>
        <scheme val="major"/>
      </font>
    </dxf>
    <dxf>
      <font>
        <u val="none"/>
        <color theme="0"/>
      </font>
      <fill>
        <patternFill>
          <fgColor theme="2" tint="-0.749961851863155"/>
          <bgColor theme="2" tint="-0.749961851863155"/>
        </patternFill>
      </fill>
    </dxf>
    <dxf>
      <font>
        <color auto="1"/>
      </font>
      <fill>
        <patternFill>
          <bgColor theme="4"/>
        </patternFill>
      </fill>
    </dxf>
    <dxf>
      <font>
        <color theme="1"/>
      </font>
      <fill>
        <patternFill>
          <fgColor theme="0" tint="-4.9989318521683403E-2"/>
          <bgColor theme="0" tint="-4.9989318521683403E-2"/>
        </patternFill>
      </fill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color theme="1"/>
      </font>
      <fill>
        <patternFill>
          <fgColor theme="2"/>
          <bgColor theme="2"/>
        </patternFill>
      </fill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fgColor theme="2" tint="-0.749961851863155"/>
          <bgColor theme="2" tint="-0.749961851863155"/>
        </patternFill>
      </fill>
    </dxf>
    <dxf>
      <font>
        <color theme="1"/>
      </font>
      <fill>
        <patternFill>
          <fgColor theme="0" tint="-4.9989318521683403E-2"/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-0.24994659260841701"/>
        </patternFill>
      </fill>
    </dxf>
    <dxf>
      <border>
        <top style="mediumDashed">
          <color auto="1"/>
        </top>
      </border>
    </dxf>
    <dxf>
      <font>
        <b/>
        <i val="0"/>
      </font>
      <fill>
        <patternFill>
          <bgColor theme="6" tint="-0.24994659260841701"/>
        </patternFill>
      </fill>
      <border>
        <top style="medium">
          <color auto="1"/>
        </top>
        <bottom style="medium">
          <color auto="1"/>
        </bottom>
      </border>
    </dxf>
    <dxf>
      <font>
        <color theme="1"/>
      </font>
      <border>
        <top style="medium">
          <color theme="0"/>
        </top>
        <bottom style="medium">
          <color theme="0"/>
        </bottom>
        <horizontal style="medium">
          <color theme="0"/>
        </horizontal>
      </border>
    </dxf>
  </dxfs>
  <tableStyles count="2" defaultTableStyle="TableStyleMedium2" defaultPivotStyle="PivotStyleLight16">
    <tableStyle name="Table Style 1" pivot="0" count="6" xr9:uid="{6EA8F4DF-9EED-4993-B57F-2E9E3D8C767E}">
      <tableStyleElement type="wholeTable" dxfId="12"/>
      <tableStyleElement type="headerRow" dxfId="11"/>
      <tableStyleElement type="totalRow" dxfId="10"/>
      <tableStyleElement type="lastColumn" dxfId="9"/>
      <tableStyleElement type="firstRowStripe" dxfId="8"/>
      <tableStyleElement type="lastTotalCell" dxfId="7"/>
    </tableStyle>
    <tableStyle name="Table Style 2" pivot="0" count="4" xr9:uid="{39CCEAEC-12D0-334A-BFF2-D0C988CA1E71}">
      <tableStyleElement type="wholeTable" dxfId="6"/>
      <tableStyleElement type="headerRow" dxfId="5"/>
      <tableStyleElement type="firstRowStripe" dxfId="4"/>
      <tableStyleElement type="secondRowStripe" dxfId="3"/>
    </tableStyle>
  </tableStyles>
  <colors>
    <mruColors>
      <color rgb="FF339933"/>
      <color rgb="FF00CC00"/>
      <color rgb="FFD4E2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861785510495409E-2"/>
          <c:y val="0.13213496082506415"/>
          <c:w val="0.92271231454272007"/>
          <c:h val="0.7686200470294372"/>
        </c:manualLayout>
      </c:layout>
      <c:areaChart>
        <c:grouping val="stacked"/>
        <c:varyColors val="0"/>
        <c:ser>
          <c:idx val="2"/>
          <c:order val="0"/>
          <c:tx>
            <c:v>Minus</c:v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Calculations!$B$15:$B$114</c:f>
              <c:numCache>
                <c:formatCode>"$"#,##0</c:formatCode>
                <c:ptCount val="100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  <c:pt idx="21">
                  <c:v>61</c:v>
                </c:pt>
                <c:pt idx="22">
                  <c:v>62</c:v>
                </c:pt>
                <c:pt idx="23">
                  <c:v>63</c:v>
                </c:pt>
                <c:pt idx="24">
                  <c:v>64</c:v>
                </c:pt>
                <c:pt idx="25">
                  <c:v>65</c:v>
                </c:pt>
                <c:pt idx="26">
                  <c:v>66</c:v>
                </c:pt>
                <c:pt idx="27">
                  <c:v>67</c:v>
                </c:pt>
                <c:pt idx="28">
                  <c:v>68</c:v>
                </c:pt>
                <c:pt idx="29">
                  <c:v>69</c:v>
                </c:pt>
                <c:pt idx="30">
                  <c:v>70</c:v>
                </c:pt>
                <c:pt idx="31">
                  <c:v>71</c:v>
                </c:pt>
                <c:pt idx="32">
                  <c:v>72</c:v>
                </c:pt>
                <c:pt idx="33">
                  <c:v>73</c:v>
                </c:pt>
                <c:pt idx="34">
                  <c:v>74</c:v>
                </c:pt>
                <c:pt idx="35">
                  <c:v>75</c:v>
                </c:pt>
                <c:pt idx="36">
                  <c:v>76</c:v>
                </c:pt>
                <c:pt idx="37">
                  <c:v>77</c:v>
                </c:pt>
                <c:pt idx="38">
                  <c:v>78</c:v>
                </c:pt>
                <c:pt idx="39">
                  <c:v>79</c:v>
                </c:pt>
                <c:pt idx="40">
                  <c:v>80</c:v>
                </c:pt>
                <c:pt idx="41">
                  <c:v>81</c:v>
                </c:pt>
                <c:pt idx="42">
                  <c:v>82</c:v>
                </c:pt>
                <c:pt idx="43">
                  <c:v>83</c:v>
                </c:pt>
                <c:pt idx="44">
                  <c:v>84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cat>
          <c:val>
            <c:numRef>
              <c:f>[0]!UncertaintyCone_Under</c:f>
              <c:numCache>
                <c:formatCode>#,##0</c:formatCode>
                <c:ptCount val="45"/>
                <c:pt idx="0">
                  <c:v>78150</c:v>
                </c:pt>
                <c:pt idx="1">
                  <c:v>97252.875</c:v>
                </c:pt>
                <c:pt idx="2">
                  <c:v>117358.6509375</c:v>
                </c:pt>
                <c:pt idx="3">
                  <c:v>138519.98011171876</c:v>
                </c:pt>
                <c:pt idx="4">
                  <c:v>160792.27906758399</c:v>
                </c:pt>
                <c:pt idx="5">
                  <c:v>184233.87371863215</c:v>
                </c:pt>
                <c:pt idx="6">
                  <c:v>208906.15208886034</c:v>
                </c:pt>
                <c:pt idx="7">
                  <c:v>234873.72507352551</c:v>
                </c:pt>
                <c:pt idx="8">
                  <c:v>262204.59563988564</c:v>
                </c:pt>
                <c:pt idx="9">
                  <c:v>290970.33691097965</c:v>
                </c:pt>
                <c:pt idx="10">
                  <c:v>321246.27959880605</c:v>
                </c:pt>
                <c:pt idx="11">
                  <c:v>353111.70927774336</c:v>
                </c:pt>
                <c:pt idx="12">
                  <c:v>386650.07401482487</c:v>
                </c:pt>
                <c:pt idx="13">
                  <c:v>421949.20290060318</c:v>
                </c:pt>
                <c:pt idx="14">
                  <c:v>459101.53605288483</c:v>
                </c:pt>
                <c:pt idx="15">
                  <c:v>498204.36669566127</c:v>
                </c:pt>
                <c:pt idx="16">
                  <c:v>539360.09594718344</c:v>
                </c:pt>
                <c:pt idx="17">
                  <c:v>582676.50098441052</c:v>
                </c:pt>
                <c:pt idx="18">
                  <c:v>628267.01728609204</c:v>
                </c:pt>
                <c:pt idx="19">
                  <c:v>676251.03569361183</c:v>
                </c:pt>
                <c:pt idx="20">
                  <c:v>726754.21506752644</c:v>
                </c:pt>
                <c:pt idx="21">
                  <c:v>779908.81135857152</c:v>
                </c:pt>
                <c:pt idx="22">
                  <c:v>835854.02395489649</c:v>
                </c:pt>
                <c:pt idx="23">
                  <c:v>894736.36021252861</c:v>
                </c:pt>
                <c:pt idx="24">
                  <c:v>956710.01912368636</c:v>
                </c:pt>
                <c:pt idx="25">
                  <c:v>928420.6227656469</c:v>
                </c:pt>
                <c:pt idx="26">
                  <c:v>896290.53292794933</c:v>
                </c:pt>
                <c:pt idx="27">
                  <c:v>860047.44819778576</c:v>
                </c:pt>
                <c:pt idx="28">
                  <c:v>819402.65138802223</c:v>
                </c:pt>
                <c:pt idx="29">
                  <c:v>774050.08411054173</c:v>
                </c:pt>
                <c:pt idx="30">
                  <c:v>723665.37085673294</c:v>
                </c:pt>
                <c:pt idx="31">
                  <c:v>667904.78987701086</c:v>
                </c:pt>
                <c:pt idx="32">
                  <c:v>606404.1880073623</c:v>
                </c:pt>
                <c:pt idx="33">
                  <c:v>538777.83643941151</c:v>
                </c:pt>
                <c:pt idx="34">
                  <c:v>464617.22427099309</c:v>
                </c:pt>
                <c:pt idx="35">
                  <c:v>383489.78650628816</c:v>
                </c:pt>
                <c:pt idx="36">
                  <c:v>294937.56299776823</c:v>
                </c:pt>
                <c:pt idx="37">
                  <c:v>198475.78463604802</c:v>
                </c:pt>
                <c:pt idx="38">
                  <c:v>93591.38289776443</c:v>
                </c:pt>
                <c:pt idx="39">
                  <c:v>-20258.581344729362</c:v>
                </c:pt>
                <c:pt idx="40">
                  <c:v>-143648.57406529287</c:v>
                </c:pt>
                <c:pt idx="41">
                  <c:v>-277186.33391968493</c:v>
                </c:pt>
                <c:pt idx="42">
                  <c:v>-421514.71245791146</c:v>
                </c:pt>
                <c:pt idx="43">
                  <c:v>-577313.61374961818</c:v>
                </c:pt>
                <c:pt idx="44">
                  <c:v>-745302.03872576961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7-446F-9EF2-89BFFEC2F2D2}"/>
            </c:ext>
          </c:extLst>
        </c:ser>
        <c:ser>
          <c:idx val="1"/>
          <c:order val="1"/>
          <c:tx>
            <c:v>Cone of uncertainty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Calculations!$B$15:$B$114</c:f>
              <c:numCache>
                <c:formatCode>"$"#,##0</c:formatCode>
                <c:ptCount val="100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  <c:pt idx="21">
                  <c:v>61</c:v>
                </c:pt>
                <c:pt idx="22">
                  <c:v>62</c:v>
                </c:pt>
                <c:pt idx="23">
                  <c:v>63</c:v>
                </c:pt>
                <c:pt idx="24">
                  <c:v>64</c:v>
                </c:pt>
                <c:pt idx="25">
                  <c:v>65</c:v>
                </c:pt>
                <c:pt idx="26">
                  <c:v>66</c:v>
                </c:pt>
                <c:pt idx="27">
                  <c:v>67</c:v>
                </c:pt>
                <c:pt idx="28">
                  <c:v>68</c:v>
                </c:pt>
                <c:pt idx="29">
                  <c:v>69</c:v>
                </c:pt>
                <c:pt idx="30">
                  <c:v>70</c:v>
                </c:pt>
                <c:pt idx="31">
                  <c:v>71</c:v>
                </c:pt>
                <c:pt idx="32">
                  <c:v>72</c:v>
                </c:pt>
                <c:pt idx="33">
                  <c:v>73</c:v>
                </c:pt>
                <c:pt idx="34">
                  <c:v>74</c:v>
                </c:pt>
                <c:pt idx="35">
                  <c:v>75</c:v>
                </c:pt>
                <c:pt idx="36">
                  <c:v>76</c:v>
                </c:pt>
                <c:pt idx="37">
                  <c:v>77</c:v>
                </c:pt>
                <c:pt idx="38">
                  <c:v>78</c:v>
                </c:pt>
                <c:pt idx="39">
                  <c:v>79</c:v>
                </c:pt>
                <c:pt idx="40">
                  <c:v>80</c:v>
                </c:pt>
                <c:pt idx="41">
                  <c:v>81</c:v>
                </c:pt>
                <c:pt idx="42">
                  <c:v>82</c:v>
                </c:pt>
                <c:pt idx="43">
                  <c:v>83</c:v>
                </c:pt>
                <c:pt idx="44">
                  <c:v>84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cat>
          <c:val>
            <c:numRef>
              <c:f>[0]!UncertaintyCone_Over</c:f>
              <c:numCache>
                <c:formatCode>#,##0</c:formatCode>
                <c:ptCount val="45"/>
                <c:pt idx="0">
                  <c:v>1200</c:v>
                </c:pt>
                <c:pt idx="1">
                  <c:v>2850</c:v>
                </c:pt>
                <c:pt idx="2">
                  <c:v>5001.6824999999953</c:v>
                </c:pt>
                <c:pt idx="3">
                  <c:v>7711.477499999979</c:v>
                </c:pt>
                <c:pt idx="4">
                  <c:v>11040.959220984339</c:v>
                </c:pt>
                <c:pt idx="5">
                  <c:v>15057.274345857382</c:v>
                </c:pt>
                <c:pt idx="6">
                  <c:v>19833.604210304678</c:v>
                </c:pt>
                <c:pt idx="7">
                  <c:v>25449.663557328982</c:v>
                </c:pt>
                <c:pt idx="8">
                  <c:v>31992.238666705787</c:v>
                </c:pt>
                <c:pt idx="9">
                  <c:v>39555.76788283966</c:v>
                </c:pt>
                <c:pt idx="10">
                  <c:v>48242.967792565178</c:v>
                </c:pt>
                <c:pt idx="11">
                  <c:v>58165.508549502294</c:v>
                </c:pt>
                <c:pt idx="12">
                  <c:v>69444.742104896111</c:v>
                </c:pt>
                <c:pt idx="13">
                  <c:v>82212.487387797562</c:v>
                </c:pt>
                <c:pt idx="14">
                  <c:v>96611.876781424915</c:v>
                </c:pt>
                <c:pt idx="15">
                  <c:v>112798.26856913586</c:v>
                </c:pt>
                <c:pt idx="16">
                  <c:v>130940.23037431145</c:v>
                </c:pt>
                <c:pt idx="17">
                  <c:v>151220.59899539268</c:v>
                </c:pt>
                <c:pt idx="18">
                  <c:v>173837.62244224688</c:v>
                </c:pt>
                <c:pt idx="19">
                  <c:v>199006.19041503163</c:v>
                </c:pt>
                <c:pt idx="20">
                  <c:v>226959.15993399371</c:v>
                </c:pt>
                <c:pt idx="21">
                  <c:v>257948.7833305588</c:v>
                </c:pt>
                <c:pt idx="22">
                  <c:v>292248.24634919572</c:v>
                </c:pt>
                <c:pt idx="23">
                  <c:v>330153.32468861016</c:v>
                </c:pt>
                <c:pt idx="24">
                  <c:v>371984.167932785</c:v>
                </c:pt>
                <c:pt idx="25">
                  <c:v>418087.22049038566</c:v>
                </c:pt>
                <c:pt idx="26">
                  <c:v>466966.9564312516</c:v>
                </c:pt>
                <c:pt idx="27">
                  <c:v>518747.87143107643</c:v>
                </c:pt>
                <c:pt idx="28">
                  <c:v>573558.04107378528</c:v>
                </c:pt>
                <c:pt idx="29">
                  <c:v>631529.05207939516</c:v>
                </c:pt>
                <c:pt idx="30">
                  <c:v>692795.91003736213</c:v>
                </c:pt>
                <c:pt idx="31">
                  <c:v>757496.92093220551</c:v>
                </c:pt>
                <c:pt idx="32">
                  <c:v>825773.54349733063</c:v>
                </c:pt>
                <c:pt idx="33">
                  <c:v>897770.2091610342</c:v>
                </c:pt>
                <c:pt idx="34">
                  <c:v>973634.10605399753</c:v>
                </c:pt>
                <c:pt idx="35">
                  <c:v>1053514.9232283323</c:v>
                </c:pt>
                <c:pt idx="36">
                  <c:v>1137564.5508925123</c:v>
                </c:pt>
                <c:pt idx="37">
                  <c:v>1225936.7320921747</c:v>
                </c:pt>
                <c:pt idx="38">
                  <c:v>1318786.6608615785</c:v>
                </c:pt>
                <c:pt idx="39">
                  <c:v>1416270.5214319981</c:v>
                </c:pt>
                <c:pt idx="40">
                  <c:v>1518544.9626089237</c:v>
                </c:pt>
                <c:pt idx="41">
                  <c:v>1625766.5009167646</c:v>
                </c:pt>
                <c:pt idx="42">
                  <c:v>1738090.8455548366</c:v>
                </c:pt>
                <c:pt idx="43">
                  <c:v>1855672.1376084038</c:v>
                </c:pt>
                <c:pt idx="44">
                  <c:v>1978662.0953100207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7-446F-9EF2-89BFFEC2F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48504"/>
        <c:axId val="305461176"/>
      </c:areaChart>
      <c:barChart>
        <c:barDir val="col"/>
        <c:grouping val="clustered"/>
        <c:varyColors val="0"/>
        <c:ser>
          <c:idx val="4"/>
          <c:order val="4"/>
          <c:tx>
            <c:v>Savings disbursements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[0]!SavingsBalance_Disbursements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78516.672362033016</c:v>
                </c:pt>
                <c:pt idx="26">
                  <c:v>80872.172532894023</c:v>
                </c:pt>
                <c:pt idx="27">
                  <c:v>83298.337708880834</c:v>
                </c:pt>
                <c:pt idx="28">
                  <c:v>85797.287840147255</c:v>
                </c:pt>
                <c:pt idx="29">
                  <c:v>88371.206475351661</c:v>
                </c:pt>
                <c:pt idx="30">
                  <c:v>91022.342669612219</c:v>
                </c:pt>
                <c:pt idx="31">
                  <c:v>93753.012949700598</c:v>
                </c:pt>
                <c:pt idx="32">
                  <c:v>96565.603338191591</c:v>
                </c:pt>
                <c:pt idx="33">
                  <c:v>99462.571438337356</c:v>
                </c:pt>
                <c:pt idx="34">
                  <c:v>102446.44858148745</c:v>
                </c:pt>
                <c:pt idx="35">
                  <c:v>105519.8420389321</c:v>
                </c:pt>
                <c:pt idx="36">
                  <c:v>108685.43730010005</c:v>
                </c:pt>
                <c:pt idx="37">
                  <c:v>111946.00041910303</c:v>
                </c:pt>
                <c:pt idx="38">
                  <c:v>115304.38043167612</c:v>
                </c:pt>
                <c:pt idx="39">
                  <c:v>118763.51184462642</c:v>
                </c:pt>
                <c:pt idx="40">
                  <c:v>122326.4171999652</c:v>
                </c:pt>
                <c:pt idx="41">
                  <c:v>125996.20971596417</c:v>
                </c:pt>
                <c:pt idx="42">
                  <c:v>129776.09600744309</c:v>
                </c:pt>
                <c:pt idx="43">
                  <c:v>133669.37888766639</c:v>
                </c:pt>
                <c:pt idx="44">
                  <c:v>137679.46025429637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37-446F-9EF2-89BFFEC2F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05448504"/>
        <c:axId val="305461176"/>
      </c:barChart>
      <c:scatterChart>
        <c:scatterStyle val="smoothMarker"/>
        <c:varyColors val="0"/>
        <c:ser>
          <c:idx val="0"/>
          <c:order val="2"/>
          <c:tx>
            <c:v>Savings balance - working years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[0]!SavingsBalance_WorkingPeriod</c:f>
              <c:numCache>
                <c:formatCode>#,##0</c:formatCode>
                <c:ptCount val="45"/>
                <c:pt idx="0">
                  <c:v>78750</c:v>
                </c:pt>
                <c:pt idx="1">
                  <c:v>98671.875</c:v>
                </c:pt>
                <c:pt idx="2">
                  <c:v>119838.8671875</c:v>
                </c:pt>
                <c:pt idx="3">
                  <c:v>142328.79638671875</c:v>
                </c:pt>
                <c:pt idx="4">
                  <c:v>166224.34616088867</c:v>
                </c:pt>
                <c:pt idx="5">
                  <c:v>191613.36779594421</c:v>
                </c:pt>
                <c:pt idx="6">
                  <c:v>218589.20328319073</c:v>
                </c:pt>
                <c:pt idx="7">
                  <c:v>247251.02848839015</c:v>
                </c:pt>
                <c:pt idx="8">
                  <c:v>277704.21776891453</c:v>
                </c:pt>
                <c:pt idx="9">
                  <c:v>310060.73137947172</c:v>
                </c:pt>
                <c:pt idx="10">
                  <c:v>344439.5270906887</c:v>
                </c:pt>
                <c:pt idx="11">
                  <c:v>380966.99753385677</c:v>
                </c:pt>
                <c:pt idx="12">
                  <c:v>419777.43487972283</c:v>
                </c:pt>
                <c:pt idx="13">
                  <c:v>461013.52455970552</c:v>
                </c:pt>
                <c:pt idx="14">
                  <c:v>504826.86984468711</c:v>
                </c:pt>
                <c:pt idx="15">
                  <c:v>551378.54920998006</c:v>
                </c:pt>
                <c:pt idx="16">
                  <c:v>600839.70853560383</c:v>
                </c:pt>
                <c:pt idx="17">
                  <c:v>653392.19031907909</c:v>
                </c:pt>
                <c:pt idx="18">
                  <c:v>709229.20221402158</c:v>
                </c:pt>
                <c:pt idx="19">
                  <c:v>768556.02735239791</c:v>
                </c:pt>
                <c:pt idx="20">
                  <c:v>831590.7790619228</c:v>
                </c:pt>
                <c:pt idx="21">
                  <c:v>898565.20275329298</c:v>
                </c:pt>
                <c:pt idx="22">
                  <c:v>969725.52792537375</c:v>
                </c:pt>
                <c:pt idx="23">
                  <c:v>1045333.3734207096</c:v>
                </c:pt>
                <c:pt idx="24">
                  <c:v>1125666.709259504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37-446F-9EF2-89BFFEC2F2D2}"/>
            </c:ext>
          </c:extLst>
        </c:ser>
        <c:ser>
          <c:idx val="3"/>
          <c:order val="3"/>
          <c:tx>
            <c:v>Savings balance - retirement</c:v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[0]!SavingsBalance_RetiredPeriod</c:f>
              <c:numCache>
                <c:formatCode>#,##0</c:formatCode>
                <c:ptCount val="4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1125666.709259504</c:v>
                </c:pt>
                <c:pt idx="25">
                  <c:v>1117504.2062261899</c:v>
                </c:pt>
                <c:pt idx="26">
                  <c:v>1106476.0465824327</c:v>
                </c:pt>
                <c:pt idx="27">
                  <c:v>1092332.4617849539</c:v>
                </c:pt>
                <c:pt idx="28">
                  <c:v>1074805.9528063664</c:v>
                </c:pt>
                <c:pt idx="29">
                  <c:v>1053610.1183814125</c:v>
                </c:pt>
                <c:pt idx="30">
                  <c:v>1028438.4081106384</c:v>
                </c:pt>
                <c:pt idx="31">
                  <c:v>998962.79566785262</c:v>
                </c:pt>
                <c:pt idx="32">
                  <c:v>964832.3670589017</c:v>
                </c:pt>
                <c:pt idx="33">
                  <c:v>925671.81856174569</c:v>
                </c:pt>
                <c:pt idx="34">
                  <c:v>881079.8586403674</c:v>
                </c:pt>
                <c:pt idx="35">
                  <c:v>830627.50776645821</c:v>
                </c:pt>
                <c:pt idx="36">
                  <c:v>773856.28970176191</c:v>
                </c:pt>
                <c:pt idx="37">
                  <c:v>710276.30738901894</c:v>
                </c:pt>
                <c:pt idx="38">
                  <c:v>639364.19616915646</c:v>
                </c:pt>
                <c:pt idx="39">
                  <c:v>560560.94658510236</c:v>
                </c:pt>
                <c:pt idx="40">
                  <c:v>473269.58854670601</c:v>
                </c:pt>
                <c:pt idx="41">
                  <c:v>376852.72811491101</c:v>
                </c:pt>
                <c:pt idx="42">
                  <c:v>270629.92761464987</c:v>
                </c:pt>
                <c:pt idx="43">
                  <c:v>153874.91920289909</c:v>
                </c:pt>
                <c:pt idx="44">
                  <c:v>25812.641398783919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337-446F-9EF2-89BFFEC2F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48504"/>
        <c:axId val="305461176"/>
      </c:scatterChart>
      <c:catAx>
        <c:axId val="305448504"/>
        <c:scaling>
          <c:orientation val="minMax"/>
        </c:scaling>
        <c:delete val="0"/>
        <c:axPos val="b"/>
        <c:numFmt formatCode="&quot;$&quot;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461176"/>
        <c:crosses val="autoZero"/>
        <c:auto val="1"/>
        <c:lblAlgn val="ctr"/>
        <c:lblOffset val="100"/>
        <c:noMultiLvlLbl val="0"/>
      </c:catAx>
      <c:valAx>
        <c:axId val="305461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448504"/>
        <c:crosses val="autoZero"/>
        <c:crossBetween val="between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THOUSANDS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19851166096605413"/>
          <c:y val="3.8907108512538355E-2"/>
          <c:w val="0.60297667806789168"/>
          <c:h val="5.4270821047213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svg"/><Relationship Id="rId7" Type="http://schemas.openxmlformats.org/officeDocument/2006/relationships/image" Target="../media/image6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9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</xdr:rowOff>
    </xdr:from>
    <xdr:to>
      <xdr:col>9</xdr:col>
      <xdr:colOff>1911928</xdr:colOff>
      <xdr:row>3</xdr:row>
      <xdr:rowOff>1</xdr:rowOff>
    </xdr:to>
    <xdr:graphicFrame macro="">
      <xdr:nvGraphicFramePr>
        <xdr:cNvPr id="2" name="Retirement Savings" descr="Combo Chart illustrating Savings Disbursements, Cone of Uncertainty, Working Years, and Retirement Savings Balanc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606423</xdr:colOff>
      <xdr:row>0</xdr:row>
      <xdr:rowOff>494699</xdr:rowOff>
    </xdr:from>
    <xdr:to>
      <xdr:col>9</xdr:col>
      <xdr:colOff>386149</xdr:colOff>
      <xdr:row>1</xdr:row>
      <xdr:rowOff>75600</xdr:rowOff>
    </xdr:to>
    <xdr:pic>
      <xdr:nvPicPr>
        <xdr:cNvPr id="3" name="Graphic 2" descr="Drawing of an old man">
          <a:extLst>
            <a:ext uri="{FF2B5EF4-FFF2-40B4-BE49-F238E27FC236}">
              <a16:creationId xmlns:a16="http://schemas.microsoft.com/office/drawing/2014/main" id="{D7B27C41-9F95-3FBD-59A0-5578AFDA3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14594260" y="494699"/>
          <a:ext cx="1741390" cy="1999609"/>
        </a:xfrm>
        <a:prstGeom prst="rect">
          <a:avLst/>
        </a:prstGeom>
      </xdr:spPr>
    </xdr:pic>
    <xdr:clientData/>
  </xdr:twoCellAnchor>
  <xdr:twoCellAnchor editAs="oneCell">
    <xdr:from>
      <xdr:col>1</xdr:col>
      <xdr:colOff>2061368</xdr:colOff>
      <xdr:row>0</xdr:row>
      <xdr:rowOff>493518</xdr:rowOff>
    </xdr:from>
    <xdr:to>
      <xdr:col>2</xdr:col>
      <xdr:colOff>1385021</xdr:colOff>
      <xdr:row>1</xdr:row>
      <xdr:rowOff>74419</xdr:rowOff>
    </xdr:to>
    <xdr:pic>
      <xdr:nvPicPr>
        <xdr:cNvPr id="4" name="Graphic 3" descr="Drawing of an old woman">
          <a:extLst>
            <a:ext uri="{FF2B5EF4-FFF2-40B4-BE49-F238E27FC236}">
              <a16:creationId xmlns:a16="http://schemas.microsoft.com/office/drawing/2014/main" id="{0C2B4F0E-2398-6E98-F28A-600C2A389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440819" y="493518"/>
          <a:ext cx="1409380" cy="2004742"/>
        </a:xfrm>
        <a:prstGeom prst="rect">
          <a:avLst/>
        </a:prstGeom>
      </xdr:spPr>
    </xdr:pic>
    <xdr:clientData/>
  </xdr:twoCellAnchor>
  <xdr:twoCellAnchor editAs="oneCell">
    <xdr:from>
      <xdr:col>1</xdr:col>
      <xdr:colOff>972344</xdr:colOff>
      <xdr:row>0</xdr:row>
      <xdr:rowOff>515938</xdr:rowOff>
    </xdr:from>
    <xdr:to>
      <xdr:col>2</xdr:col>
      <xdr:colOff>693688</xdr:colOff>
      <xdr:row>1</xdr:row>
      <xdr:rowOff>76994</xdr:rowOff>
    </xdr:to>
    <xdr:pic>
      <xdr:nvPicPr>
        <xdr:cNvPr id="10" name="Graphic 9" descr="Drawing of a young woman">
          <a:extLst>
            <a:ext uri="{FF2B5EF4-FFF2-40B4-BE49-F238E27FC236}">
              <a16:creationId xmlns:a16="http://schemas.microsoft.com/office/drawing/2014/main" id="{F901A7E8-152F-4414-D6F0-C469733BF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349375" y="515938"/>
          <a:ext cx="1827151" cy="1981994"/>
        </a:xfrm>
        <a:prstGeom prst="rect">
          <a:avLst/>
        </a:prstGeom>
      </xdr:spPr>
    </xdr:pic>
    <xdr:clientData/>
  </xdr:twoCellAnchor>
  <xdr:twoCellAnchor editAs="oneCell">
    <xdr:from>
      <xdr:col>8</xdr:col>
      <xdr:colOff>1746252</xdr:colOff>
      <xdr:row>0</xdr:row>
      <xdr:rowOff>460604</xdr:rowOff>
    </xdr:from>
    <xdr:to>
      <xdr:col>9</xdr:col>
      <xdr:colOff>1089036</xdr:colOff>
      <xdr:row>1</xdr:row>
      <xdr:rowOff>84736</xdr:rowOff>
    </xdr:to>
    <xdr:pic>
      <xdr:nvPicPr>
        <xdr:cNvPr id="11" name="Graphic 10" descr="Drawing of a young man">
          <a:extLst>
            <a:ext uri="{FF2B5EF4-FFF2-40B4-BE49-F238E27FC236}">
              <a16:creationId xmlns:a16="http://schemas.microsoft.com/office/drawing/2014/main" id="{BE528672-6FC8-B98F-698D-F3F51C362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flipH="1">
          <a:off x="15734089" y="460604"/>
          <a:ext cx="1304448" cy="20428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09CF94-6477-45A9-BF32-7C0E5C0B12A8}" name="Table2" displayName="Table2" ref="B14:J59" totalsRowShown="0" headerRowDxfId="0">
  <tableColumns count="9">
    <tableColumn id="1" xr3:uid="{BC28DB38-22E9-45B2-821D-C9DD38ED06CF}" name="Age">
      <calculatedColumnFormula>IFERROR(Calculations!B15,"")</calculatedColumnFormula>
    </tableColumn>
    <tableColumn id="2" xr3:uid="{BDA44CD2-6FEE-44BB-BC6A-5371198584AB}" name="Salary">
      <calculatedColumnFormula>IFERROR(Calculations!C15,"")</calculatedColumnFormula>
    </tableColumn>
    <tableColumn id="3" xr3:uid="{34C02907-3BC2-4B51-AD64-93A683C15B28}" name="Balance">
      <calculatedColumnFormula>IFERROR(Calculations!D15,"")</calculatedColumnFormula>
    </tableColumn>
    <tableColumn id="4" xr3:uid="{EAA4EFEF-569F-40BC-8506-C17F8B841CA9}" name="Interest">
      <calculatedColumnFormula>IFERROR(Calculations!E15,"")</calculatedColumnFormula>
    </tableColumn>
    <tableColumn id="5" xr3:uid="{1805224E-5E9B-4FD1-8C0E-44A10DA6F5E0}" name="Yearly savings">
      <calculatedColumnFormula>IFERROR(Calculations!F15,"")</calculatedColumnFormula>
    </tableColumn>
    <tableColumn id="6" xr3:uid="{CD128622-6085-4F56-BC24-7099F51D24F8}" name="Desired retirement income">
      <calculatedColumnFormula>IFERROR(Calculations!G15,"")</calculatedColumnFormula>
    </tableColumn>
    <tableColumn id="7" xr3:uid="{6D006FE5-09C1-43F3-B77B-38CAEDED8988}" name="Pension income">
      <calculatedColumnFormula>IFERROR(Calculations!H15,"")</calculatedColumnFormula>
    </tableColumn>
    <tableColumn id="8" xr3:uid="{F6FC2172-FD23-45DE-BFFA-6D60BEF3BC0B}" name="Year ending balance">
      <calculatedColumnFormula>IFERROR(Calculations!I15,"")</calculatedColumnFormula>
    </tableColumn>
    <tableColumn id="9" xr3:uid="{C46D1324-C680-4610-878A-ECC6807EC01F}" name="Notes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Retirement Planner">
  <a:themeElements>
    <a:clrScheme name="Bright and tropical 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52549"/>
      </a:accent1>
      <a:accent2>
        <a:srgbClr val="FA6775"/>
      </a:accent2>
      <a:accent3>
        <a:srgbClr val="FFD64D"/>
      </a:accent3>
      <a:accent4>
        <a:srgbClr val="9BC01C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Custom 19">
      <a:majorFont>
        <a:latin typeface="Segoe UI Semibold"/>
        <a:ea typeface=""/>
        <a:cs typeface=""/>
      </a:majorFont>
      <a:minorFont>
        <a:latin typeface="Lucida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theme="6"/>
    <pageSetUpPr autoPageBreaks="0" fitToPage="1"/>
  </sheetPr>
  <dimension ref="A1:K59"/>
  <sheetViews>
    <sheetView showGridLines="0" tabSelected="1" zoomScaleNormal="100" zoomScaleSheetLayoutView="85" workbookViewId="0"/>
  </sheetViews>
  <sheetFormatPr defaultColWidth="9.296875" defaultRowHeight="30" customHeight="1"/>
  <cols>
    <col min="1" max="1" width="3.796875" style="15" customWidth="1"/>
    <col min="2" max="10" width="20.59765625" style="15" customWidth="1"/>
    <col min="11" max="11" width="3.796875" style="15" customWidth="1"/>
    <col min="12" max="12" width="12.69921875" customWidth="1"/>
    <col min="13" max="13" width="3.3984375" customWidth="1"/>
    <col min="14" max="14" width="5.3984375" customWidth="1"/>
    <col min="15" max="15" width="8.19921875" customWidth="1"/>
  </cols>
  <sheetData>
    <row r="1" spans="1:11" ht="191.1" customHeight="1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15" t="s">
        <v>1</v>
      </c>
    </row>
    <row r="2" spans="1:11" s="1" customFormat="1" ht="54.95" customHeight="1">
      <c r="A2" s="2"/>
      <c r="B2" s="47" t="str">
        <f ca="1">IF(INDEX(SavingsBalance_RetiredPeriod,PlanYears)&gt;=0,CONCATENATE(ResultsDisplay_Success_1," ",ResultsDisplay_Success_2, " ",ResultsDisplay_Success_3," ",ResultsDisplay_Success_4," ",ResultsDisplay_Success_5),CONCATENATE(ResultsDisplay_Failure_1," ",ResultsDisplay_Failure_2," ",ResultsDisplay_Failure_3," ",ResultsDisplay_Failure_4))</f>
        <v>CONGRATULATIONS! At age 84, you will have a savings balance of $25,813.</v>
      </c>
      <c r="C2" s="47"/>
      <c r="D2" s="47"/>
      <c r="E2" s="47"/>
      <c r="F2" s="47"/>
      <c r="G2" s="47"/>
      <c r="H2" s="47"/>
      <c r="I2" s="47"/>
      <c r="J2" s="47"/>
      <c r="K2" s="2"/>
    </row>
    <row r="3" spans="1:11" ht="360" customHeight="1">
      <c r="B3" s="48"/>
      <c r="C3" s="48"/>
      <c r="D3" s="48"/>
      <c r="E3" s="48"/>
      <c r="F3" s="48"/>
      <c r="G3" s="48"/>
      <c r="H3" s="48"/>
      <c r="I3" s="48"/>
      <c r="J3" s="48"/>
    </row>
    <row r="4" spans="1:11" s="19" customFormat="1" ht="66" customHeight="1">
      <c r="A4" s="16"/>
      <c r="B4" s="41" t="s">
        <v>2</v>
      </c>
      <c r="C4" s="41"/>
      <c r="D4" s="41"/>
      <c r="E4" s="18"/>
      <c r="F4" s="18"/>
      <c r="G4" s="18"/>
      <c r="H4" s="18"/>
      <c r="I4" s="18"/>
      <c r="J4" s="18"/>
      <c r="K4" s="16"/>
    </row>
    <row r="5" spans="1:11" ht="42.95" customHeight="1">
      <c r="B5" s="42" t="s">
        <v>3</v>
      </c>
      <c r="C5" s="43"/>
      <c r="D5" s="43"/>
      <c r="E5" s="43" t="s">
        <v>4</v>
      </c>
      <c r="F5" s="43"/>
      <c r="G5" s="43"/>
      <c r="H5" s="44" t="s">
        <v>5</v>
      </c>
      <c r="I5" s="45"/>
      <c r="J5" s="46"/>
    </row>
    <row r="6" spans="1:11" ht="36" customHeight="1">
      <c r="B6" s="38" t="s">
        <v>6</v>
      </c>
      <c r="C6" s="39"/>
      <c r="D6" s="4">
        <v>40</v>
      </c>
      <c r="E6" s="39" t="s">
        <v>7</v>
      </c>
      <c r="F6" s="39"/>
      <c r="G6" s="4">
        <v>0</v>
      </c>
      <c r="H6" s="32" t="s">
        <v>8</v>
      </c>
      <c r="I6" s="33"/>
      <c r="J6" s="5">
        <v>0.02</v>
      </c>
    </row>
    <row r="7" spans="1:11" ht="36" customHeight="1">
      <c r="B7" s="36" t="s">
        <v>9</v>
      </c>
      <c r="C7" s="37"/>
      <c r="D7" s="6">
        <v>50000</v>
      </c>
      <c r="E7" s="37" t="s">
        <v>10</v>
      </c>
      <c r="F7" s="37"/>
      <c r="G7" s="7">
        <v>0</v>
      </c>
      <c r="H7" s="34" t="s">
        <v>11</v>
      </c>
      <c r="I7" s="35"/>
      <c r="J7" s="8">
        <v>0</v>
      </c>
    </row>
    <row r="8" spans="1:11" ht="36" customHeight="1">
      <c r="B8" s="36" t="s">
        <v>12</v>
      </c>
      <c r="C8" s="37"/>
      <c r="D8" s="7">
        <v>0.03</v>
      </c>
      <c r="E8" s="37" t="s">
        <v>13</v>
      </c>
      <c r="F8" s="37"/>
      <c r="G8" s="6">
        <v>65</v>
      </c>
      <c r="H8" s="34" t="s">
        <v>14</v>
      </c>
      <c r="I8" s="35"/>
      <c r="J8" s="8">
        <v>0</v>
      </c>
    </row>
    <row r="9" spans="1:11" ht="36" customHeight="1">
      <c r="B9" s="36" t="s">
        <v>15</v>
      </c>
      <c r="C9" s="37"/>
      <c r="D9" s="6">
        <v>60000</v>
      </c>
      <c r="E9" s="37" t="s">
        <v>16</v>
      </c>
      <c r="F9" s="37"/>
      <c r="G9" s="6">
        <v>20</v>
      </c>
      <c r="H9" s="34" t="s">
        <v>17</v>
      </c>
      <c r="I9" s="35"/>
      <c r="J9" s="8">
        <v>0</v>
      </c>
    </row>
    <row r="10" spans="1:11" ht="36" customHeight="1">
      <c r="B10" s="36" t="s">
        <v>18</v>
      </c>
      <c r="C10" s="37"/>
      <c r="D10" s="6">
        <v>15000</v>
      </c>
      <c r="E10" s="37" t="s">
        <v>19</v>
      </c>
      <c r="F10" s="37"/>
      <c r="G10" s="7">
        <v>0.75</v>
      </c>
      <c r="H10" s="34" t="s">
        <v>20</v>
      </c>
      <c r="I10" s="35"/>
      <c r="J10" s="8">
        <v>0</v>
      </c>
    </row>
    <row r="11" spans="1:11" ht="36" customHeight="1">
      <c r="B11" s="36" t="s">
        <v>21</v>
      </c>
      <c r="C11" s="37"/>
      <c r="D11" s="7">
        <v>0</v>
      </c>
      <c r="E11" s="37" t="s">
        <v>22</v>
      </c>
      <c r="F11" s="37"/>
      <c r="G11" s="7">
        <v>6.25E-2</v>
      </c>
      <c r="H11" s="9"/>
      <c r="I11" s="9"/>
      <c r="J11" s="10"/>
    </row>
    <row r="12" spans="1:11" ht="36" customHeight="1">
      <c r="B12" s="36" t="s">
        <v>22</v>
      </c>
      <c r="C12" s="37"/>
      <c r="D12" s="7">
        <v>6.25E-2</v>
      </c>
      <c r="E12" s="11"/>
      <c r="F12" s="11"/>
      <c r="G12" s="12"/>
      <c r="H12" s="13"/>
      <c r="I12" s="13"/>
      <c r="J12" s="14"/>
    </row>
    <row r="13" spans="1:11" s="19" customFormat="1" ht="65.099999999999994" customHeight="1">
      <c r="A13" s="16"/>
      <c r="B13" s="20" t="s">
        <v>23</v>
      </c>
      <c r="C13" s="17"/>
      <c r="D13" s="17"/>
      <c r="E13" s="17"/>
      <c r="F13" s="17"/>
      <c r="G13" s="17"/>
      <c r="H13" s="17"/>
      <c r="I13" s="17"/>
      <c r="J13" s="17"/>
      <c r="K13" s="16"/>
    </row>
    <row r="14" spans="1:11" ht="44.1" customHeight="1">
      <c r="B14" s="30" t="s">
        <v>24</v>
      </c>
      <c r="C14" s="31" t="s">
        <v>25</v>
      </c>
      <c r="D14" s="31" t="s">
        <v>26</v>
      </c>
      <c r="E14" s="31" t="s">
        <v>27</v>
      </c>
      <c r="F14" s="31" t="s">
        <v>28</v>
      </c>
      <c r="G14" s="31" t="s">
        <v>29</v>
      </c>
      <c r="H14" s="31" t="s">
        <v>30</v>
      </c>
      <c r="I14" s="31" t="s">
        <v>31</v>
      </c>
      <c r="J14" s="31" t="s">
        <v>32</v>
      </c>
    </row>
    <row r="15" spans="1:11" ht="30" customHeight="1">
      <c r="B15" s="28">
        <f ca="1">IFERROR(Calculations!B15,"")</f>
        <v>40</v>
      </c>
      <c r="C15" s="29">
        <f>IFERROR(Calculations!C15,"")</f>
        <v>50000</v>
      </c>
      <c r="D15" s="29">
        <f>IFERROR(Calculations!D15,"")</f>
        <v>60000</v>
      </c>
      <c r="E15" s="29">
        <f ca="1">IFERROR(Calculations!E15,"")</f>
        <v>3750</v>
      </c>
      <c r="F15" s="29">
        <f>IFERROR(Calculations!F15,"")</f>
        <v>15000</v>
      </c>
      <c r="G15" s="29">
        <f ca="1">IFERROR(Calculations!G15,"")</f>
        <v>0</v>
      </c>
      <c r="H15" s="29">
        <f ca="1">IFERROR(Calculations!H15,"")</f>
        <v>0</v>
      </c>
      <c r="I15" s="29">
        <f ca="1">IFERROR(Calculations!I15,"")</f>
        <v>78750</v>
      </c>
      <c r="J15" s="29"/>
    </row>
    <row r="16" spans="1:11" ht="30" customHeight="1">
      <c r="B16" s="28">
        <f ca="1">IFERROR(Calculations!B16,"")</f>
        <v>41</v>
      </c>
      <c r="C16" s="29">
        <f ca="1">IFERROR(Calculations!C16,"")</f>
        <v>51500</v>
      </c>
      <c r="D16" s="29">
        <f ca="1">IFERROR(Calculations!D16,"")</f>
        <v>78750</v>
      </c>
      <c r="E16" s="29">
        <f ca="1">IFERROR(Calculations!E16,"")</f>
        <v>4921.875</v>
      </c>
      <c r="F16" s="29">
        <f ca="1">IFERROR(Calculations!F16,"")</f>
        <v>15000</v>
      </c>
      <c r="G16" s="29">
        <f ca="1">IFERROR(Calculations!G16,"")</f>
        <v>0</v>
      </c>
      <c r="H16" s="29">
        <f ca="1">IFERROR(Calculations!H16,"")</f>
        <v>0</v>
      </c>
      <c r="I16" s="29">
        <f ca="1">IFERROR(Calculations!I16,"")</f>
        <v>98671.875</v>
      </c>
      <c r="J16" s="29"/>
    </row>
    <row r="17" spans="2:10" ht="30" customHeight="1">
      <c r="B17" s="28">
        <f ca="1">IFERROR(Calculations!B17,"")</f>
        <v>42</v>
      </c>
      <c r="C17" s="29">
        <f ca="1">IFERROR(Calculations!C17,"")</f>
        <v>53045</v>
      </c>
      <c r="D17" s="29">
        <f ca="1">IFERROR(Calculations!D17,"")</f>
        <v>98671.875</v>
      </c>
      <c r="E17" s="29">
        <f ca="1">IFERROR(Calculations!E17,"")</f>
        <v>6166.9921875</v>
      </c>
      <c r="F17" s="29">
        <f ca="1">IFERROR(Calculations!F17,"")</f>
        <v>15000</v>
      </c>
      <c r="G17" s="29">
        <f ca="1">IFERROR(Calculations!G17,"")</f>
        <v>0</v>
      </c>
      <c r="H17" s="29">
        <f ca="1">IFERROR(Calculations!H17,"")</f>
        <v>0</v>
      </c>
      <c r="I17" s="29">
        <f ca="1">IFERROR(Calculations!I17,"")</f>
        <v>119838.8671875</v>
      </c>
      <c r="J17" s="29"/>
    </row>
    <row r="18" spans="2:10" ht="30" customHeight="1">
      <c r="B18" s="28">
        <f ca="1">IFERROR(Calculations!B18,"")</f>
        <v>43</v>
      </c>
      <c r="C18" s="29">
        <f ca="1">IFERROR(Calculations!C18,"")</f>
        <v>54636.35</v>
      </c>
      <c r="D18" s="29">
        <f ca="1">IFERROR(Calculations!D18,"")</f>
        <v>119838.8671875</v>
      </c>
      <c r="E18" s="29">
        <f ca="1">IFERROR(Calculations!E18,"")</f>
        <v>7489.92919921875</v>
      </c>
      <c r="F18" s="29">
        <f ca="1">IFERROR(Calculations!F18,"")</f>
        <v>15000</v>
      </c>
      <c r="G18" s="29">
        <f ca="1">IFERROR(Calculations!G18,"")</f>
        <v>0</v>
      </c>
      <c r="H18" s="29">
        <f ca="1">IFERROR(Calculations!H18,"")</f>
        <v>0</v>
      </c>
      <c r="I18" s="29">
        <f ca="1">IFERROR(Calculations!I18,"")</f>
        <v>142328.79638671875</v>
      </c>
      <c r="J18" s="29"/>
    </row>
    <row r="19" spans="2:10" ht="30" customHeight="1">
      <c r="B19" s="28">
        <f ca="1">IFERROR(Calculations!B19,"")</f>
        <v>44</v>
      </c>
      <c r="C19" s="29">
        <f ca="1">IFERROR(Calculations!C19,"")</f>
        <v>56275.440499999997</v>
      </c>
      <c r="D19" s="29">
        <f ca="1">IFERROR(Calculations!D19,"")</f>
        <v>142328.79638671875</v>
      </c>
      <c r="E19" s="29">
        <f ca="1">IFERROR(Calculations!E19,"")</f>
        <v>8895.5497741699219</v>
      </c>
      <c r="F19" s="29">
        <f ca="1">IFERROR(Calculations!F19,"")</f>
        <v>15000</v>
      </c>
      <c r="G19" s="29">
        <f ca="1">IFERROR(Calculations!G19,"")</f>
        <v>0</v>
      </c>
      <c r="H19" s="29">
        <f ca="1">IFERROR(Calculations!H19,"")</f>
        <v>0</v>
      </c>
      <c r="I19" s="29">
        <f ca="1">IFERROR(Calculations!I19,"")</f>
        <v>166224.34616088867</v>
      </c>
      <c r="J19" s="29"/>
    </row>
    <row r="20" spans="2:10" ht="30" customHeight="1">
      <c r="B20" s="28">
        <f ca="1">IFERROR(Calculations!B20,"")</f>
        <v>45</v>
      </c>
      <c r="C20" s="29">
        <f ca="1">IFERROR(Calculations!C20,"")</f>
        <v>57963.703714999996</v>
      </c>
      <c r="D20" s="29">
        <f ca="1">IFERROR(Calculations!D20,"")</f>
        <v>166224.34616088867</v>
      </c>
      <c r="E20" s="29">
        <f ca="1">IFERROR(Calculations!E20,"")</f>
        <v>10389.021635055542</v>
      </c>
      <c r="F20" s="29">
        <f ca="1">IFERROR(Calculations!F20,"")</f>
        <v>15000</v>
      </c>
      <c r="G20" s="29">
        <f ca="1">IFERROR(Calculations!G20,"")</f>
        <v>0</v>
      </c>
      <c r="H20" s="29">
        <f ca="1">IFERROR(Calculations!H20,"")</f>
        <v>0</v>
      </c>
      <c r="I20" s="29">
        <f ca="1">IFERROR(Calculations!I20,"")</f>
        <v>191613.36779594421</v>
      </c>
      <c r="J20" s="29"/>
    </row>
    <row r="21" spans="2:10" ht="30" customHeight="1">
      <c r="B21" s="28">
        <f ca="1">IFERROR(Calculations!B21,"")</f>
        <v>46</v>
      </c>
      <c r="C21" s="29">
        <f ca="1">IFERROR(Calculations!C21,"")</f>
        <v>59702.614826449993</v>
      </c>
      <c r="D21" s="29">
        <f ca="1">IFERROR(Calculations!D21,"")</f>
        <v>191613.36779594421</v>
      </c>
      <c r="E21" s="29">
        <f ca="1">IFERROR(Calculations!E21,"")</f>
        <v>11975.835487246513</v>
      </c>
      <c r="F21" s="29">
        <f ca="1">IFERROR(Calculations!F21,"")</f>
        <v>15000</v>
      </c>
      <c r="G21" s="29">
        <f ca="1">IFERROR(Calculations!G21,"")</f>
        <v>0</v>
      </c>
      <c r="H21" s="29">
        <f ca="1">IFERROR(Calculations!H21,"")</f>
        <v>0</v>
      </c>
      <c r="I21" s="29">
        <f ca="1">IFERROR(Calculations!I21,"")</f>
        <v>218589.20328319073</v>
      </c>
      <c r="J21" s="29"/>
    </row>
    <row r="22" spans="2:10" ht="30" customHeight="1">
      <c r="B22" s="28">
        <f ca="1">IFERROR(Calculations!B22,"")</f>
        <v>47</v>
      </c>
      <c r="C22" s="29">
        <f ca="1">IFERROR(Calculations!C22,"")</f>
        <v>61493.693271243494</v>
      </c>
      <c r="D22" s="29">
        <f ca="1">IFERROR(Calculations!D22,"")</f>
        <v>218589.20328319073</v>
      </c>
      <c r="E22" s="29">
        <f ca="1">IFERROR(Calculations!E22,"")</f>
        <v>13661.82520519942</v>
      </c>
      <c r="F22" s="29">
        <f ca="1">IFERROR(Calculations!F22,"")</f>
        <v>15000</v>
      </c>
      <c r="G22" s="29">
        <f ca="1">IFERROR(Calculations!G22,"")</f>
        <v>0</v>
      </c>
      <c r="H22" s="29">
        <f ca="1">IFERROR(Calculations!H22,"")</f>
        <v>0</v>
      </c>
      <c r="I22" s="29">
        <f ca="1">IFERROR(Calculations!I22,"")</f>
        <v>247251.02848839015</v>
      </c>
      <c r="J22" s="29"/>
    </row>
    <row r="23" spans="2:10" ht="30" customHeight="1">
      <c r="B23" s="28">
        <f ca="1">IFERROR(Calculations!B23,"")</f>
        <v>48</v>
      </c>
      <c r="C23" s="29">
        <f ca="1">IFERROR(Calculations!C23,"")</f>
        <v>63338.504069380797</v>
      </c>
      <c r="D23" s="29">
        <f ca="1">IFERROR(Calculations!D23,"")</f>
        <v>247251.02848839015</v>
      </c>
      <c r="E23" s="29">
        <f ca="1">IFERROR(Calculations!E23,"")</f>
        <v>15453.189280524384</v>
      </c>
      <c r="F23" s="29">
        <f ca="1">IFERROR(Calculations!F23,"")</f>
        <v>15000</v>
      </c>
      <c r="G23" s="29">
        <f ca="1">IFERROR(Calculations!G23,"")</f>
        <v>0</v>
      </c>
      <c r="H23" s="29">
        <f ca="1">IFERROR(Calculations!H23,"")</f>
        <v>0</v>
      </c>
      <c r="I23" s="29">
        <f ca="1">IFERROR(Calculations!I23,"")</f>
        <v>277704.21776891453</v>
      </c>
      <c r="J23" s="29"/>
    </row>
    <row r="24" spans="2:10" ht="30" customHeight="1">
      <c r="B24" s="28">
        <f ca="1">IFERROR(Calculations!B24,"")</f>
        <v>49</v>
      </c>
      <c r="C24" s="29">
        <f ca="1">IFERROR(Calculations!C24,"")</f>
        <v>65238.659191462219</v>
      </c>
      <c r="D24" s="29">
        <f ca="1">IFERROR(Calculations!D24,"")</f>
        <v>277704.21776891453</v>
      </c>
      <c r="E24" s="29">
        <f ca="1">IFERROR(Calculations!E24,"")</f>
        <v>17356.513610557158</v>
      </c>
      <c r="F24" s="29">
        <f ca="1">IFERROR(Calculations!F24,"")</f>
        <v>15000</v>
      </c>
      <c r="G24" s="29">
        <f ca="1">IFERROR(Calculations!G24,"")</f>
        <v>0</v>
      </c>
      <c r="H24" s="29">
        <f ca="1">IFERROR(Calculations!H24,"")</f>
        <v>0</v>
      </c>
      <c r="I24" s="29">
        <f ca="1">IFERROR(Calculations!I24,"")</f>
        <v>310060.73137947172</v>
      </c>
      <c r="J24" s="29"/>
    </row>
    <row r="25" spans="2:10" ht="30" customHeight="1">
      <c r="B25" s="28">
        <f ca="1">IFERROR(Calculations!B25,"")</f>
        <v>50</v>
      </c>
      <c r="C25" s="29">
        <f ca="1">IFERROR(Calculations!C25,"")</f>
        <v>67195.818967206083</v>
      </c>
      <c r="D25" s="29">
        <f ca="1">IFERROR(Calculations!D25,"")</f>
        <v>310060.73137947172</v>
      </c>
      <c r="E25" s="29">
        <f ca="1">IFERROR(Calculations!E25,"")</f>
        <v>19378.795711216982</v>
      </c>
      <c r="F25" s="29">
        <f ca="1">IFERROR(Calculations!F25,"")</f>
        <v>15000</v>
      </c>
      <c r="G25" s="29">
        <f ca="1">IFERROR(Calculations!G25,"")</f>
        <v>0</v>
      </c>
      <c r="H25" s="29">
        <f ca="1">IFERROR(Calculations!H25,"")</f>
        <v>0</v>
      </c>
      <c r="I25" s="29">
        <f ca="1">IFERROR(Calculations!I25,"")</f>
        <v>344439.5270906887</v>
      </c>
      <c r="J25" s="29"/>
    </row>
    <row r="26" spans="2:10" ht="30" customHeight="1">
      <c r="B26" s="28">
        <f ca="1">IFERROR(Calculations!B26,"")</f>
        <v>51</v>
      </c>
      <c r="C26" s="29">
        <f ca="1">IFERROR(Calculations!C26,"")</f>
        <v>69211.693536222272</v>
      </c>
      <c r="D26" s="29">
        <f ca="1">IFERROR(Calculations!D26,"")</f>
        <v>344439.5270906887</v>
      </c>
      <c r="E26" s="29">
        <f ca="1">IFERROR(Calculations!E26,"")</f>
        <v>21527.470443168044</v>
      </c>
      <c r="F26" s="29">
        <f ca="1">IFERROR(Calculations!F26,"")</f>
        <v>15000</v>
      </c>
      <c r="G26" s="29">
        <f ca="1">IFERROR(Calculations!G26,"")</f>
        <v>0</v>
      </c>
      <c r="H26" s="29">
        <f ca="1">IFERROR(Calculations!H26,"")</f>
        <v>0</v>
      </c>
      <c r="I26" s="29">
        <f ca="1">IFERROR(Calculations!I26,"")</f>
        <v>380966.99753385677</v>
      </c>
      <c r="J26" s="29"/>
    </row>
    <row r="27" spans="2:10" ht="30" customHeight="1">
      <c r="B27" s="28">
        <f ca="1">IFERROR(Calculations!B27,"")</f>
        <v>52</v>
      </c>
      <c r="C27" s="29">
        <f ca="1">IFERROR(Calculations!C27,"")</f>
        <v>71288.044342308945</v>
      </c>
      <c r="D27" s="29">
        <f ca="1">IFERROR(Calculations!D27,"")</f>
        <v>380966.99753385677</v>
      </c>
      <c r="E27" s="29">
        <f ca="1">IFERROR(Calculations!E27,"")</f>
        <v>23810.437345866048</v>
      </c>
      <c r="F27" s="29">
        <f ca="1">IFERROR(Calculations!F27,"")</f>
        <v>15000</v>
      </c>
      <c r="G27" s="29">
        <f ca="1">IFERROR(Calculations!G27,"")</f>
        <v>0</v>
      </c>
      <c r="H27" s="29">
        <f ca="1">IFERROR(Calculations!H27,"")</f>
        <v>0</v>
      </c>
      <c r="I27" s="29">
        <f ca="1">IFERROR(Calculations!I27,"")</f>
        <v>419777.43487972283</v>
      </c>
      <c r="J27" s="29"/>
    </row>
    <row r="28" spans="2:10" ht="30" customHeight="1">
      <c r="B28" s="28">
        <f ca="1">IFERROR(Calculations!B28,"")</f>
        <v>53</v>
      </c>
      <c r="C28" s="29">
        <f ca="1">IFERROR(Calculations!C28,"")</f>
        <v>73426.685672578213</v>
      </c>
      <c r="D28" s="29">
        <f ca="1">IFERROR(Calculations!D28,"")</f>
        <v>419777.43487972283</v>
      </c>
      <c r="E28" s="29">
        <f ca="1">IFERROR(Calculations!E28,"")</f>
        <v>26236.089679982677</v>
      </c>
      <c r="F28" s="29">
        <f ca="1">IFERROR(Calculations!F28,"")</f>
        <v>15000</v>
      </c>
      <c r="G28" s="29">
        <f ca="1">IFERROR(Calculations!G28,"")</f>
        <v>0</v>
      </c>
      <c r="H28" s="29">
        <f ca="1">IFERROR(Calculations!H28,"")</f>
        <v>0</v>
      </c>
      <c r="I28" s="29">
        <f ca="1">IFERROR(Calculations!I28,"")</f>
        <v>461013.52455970552</v>
      </c>
      <c r="J28" s="29"/>
    </row>
    <row r="29" spans="2:10" ht="30" customHeight="1">
      <c r="B29" s="28">
        <f ca="1">IFERROR(Calculations!B29,"")</f>
        <v>54</v>
      </c>
      <c r="C29" s="29">
        <f ca="1">IFERROR(Calculations!C29,"")</f>
        <v>75629.486242755564</v>
      </c>
      <c r="D29" s="29">
        <f ca="1">IFERROR(Calculations!D29,"")</f>
        <v>461013.52455970552</v>
      </c>
      <c r="E29" s="29">
        <f ca="1">IFERROR(Calculations!E29,"")</f>
        <v>28813.345284981595</v>
      </c>
      <c r="F29" s="29">
        <f ca="1">IFERROR(Calculations!F29,"")</f>
        <v>15000</v>
      </c>
      <c r="G29" s="29">
        <f ca="1">IFERROR(Calculations!G29,"")</f>
        <v>0</v>
      </c>
      <c r="H29" s="29">
        <f ca="1">IFERROR(Calculations!H29,"")</f>
        <v>0</v>
      </c>
      <c r="I29" s="29">
        <f ca="1">IFERROR(Calculations!I29,"")</f>
        <v>504826.86984468711</v>
      </c>
      <c r="J29" s="29"/>
    </row>
    <row r="30" spans="2:10" ht="30" customHeight="1">
      <c r="B30" s="28">
        <f ca="1">IFERROR(Calculations!B30,"")</f>
        <v>55</v>
      </c>
      <c r="C30" s="29">
        <f ca="1">IFERROR(Calculations!C30,"")</f>
        <v>77898.370830038228</v>
      </c>
      <c r="D30" s="29">
        <f ca="1">IFERROR(Calculations!D30,"")</f>
        <v>504826.86984468711</v>
      </c>
      <c r="E30" s="29">
        <f ca="1">IFERROR(Calculations!E30,"")</f>
        <v>31551.679365292945</v>
      </c>
      <c r="F30" s="29">
        <f ca="1">IFERROR(Calculations!F30,"")</f>
        <v>15000</v>
      </c>
      <c r="G30" s="29">
        <f ca="1">IFERROR(Calculations!G30,"")</f>
        <v>0</v>
      </c>
      <c r="H30" s="29">
        <f ca="1">IFERROR(Calculations!H30,"")</f>
        <v>0</v>
      </c>
      <c r="I30" s="29">
        <f ca="1">IFERROR(Calculations!I30,"")</f>
        <v>551378.54920998006</v>
      </c>
      <c r="J30" s="29"/>
    </row>
    <row r="31" spans="2:10" ht="30" customHeight="1">
      <c r="B31" s="28">
        <f ca="1">IFERROR(Calculations!B31,"")</f>
        <v>56</v>
      </c>
      <c r="C31" s="29">
        <f ca="1">IFERROR(Calculations!C31,"")</f>
        <v>80235.321954939369</v>
      </c>
      <c r="D31" s="29">
        <f ca="1">IFERROR(Calculations!D31,"")</f>
        <v>551378.54920998006</v>
      </c>
      <c r="E31" s="29">
        <f ca="1">IFERROR(Calculations!E31,"")</f>
        <v>34461.159325623754</v>
      </c>
      <c r="F31" s="29">
        <f ca="1">IFERROR(Calculations!F31,"")</f>
        <v>15000</v>
      </c>
      <c r="G31" s="29">
        <f ca="1">IFERROR(Calculations!G31,"")</f>
        <v>0</v>
      </c>
      <c r="H31" s="29">
        <f ca="1">IFERROR(Calculations!H31,"")</f>
        <v>0</v>
      </c>
      <c r="I31" s="29">
        <f ca="1">IFERROR(Calculations!I31,"")</f>
        <v>600839.70853560383</v>
      </c>
      <c r="J31" s="29"/>
    </row>
    <row r="32" spans="2:10" ht="30" customHeight="1">
      <c r="B32" s="28">
        <f ca="1">IFERROR(Calculations!B32,"")</f>
        <v>57</v>
      </c>
      <c r="C32" s="29">
        <f ca="1">IFERROR(Calculations!C32,"")</f>
        <v>82642.381613587553</v>
      </c>
      <c r="D32" s="29">
        <f ca="1">IFERROR(Calculations!D32,"")</f>
        <v>600839.70853560383</v>
      </c>
      <c r="E32" s="29">
        <f ca="1">IFERROR(Calculations!E32,"")</f>
        <v>37552.481783475239</v>
      </c>
      <c r="F32" s="29">
        <f ca="1">IFERROR(Calculations!F32,"")</f>
        <v>15000</v>
      </c>
      <c r="G32" s="29">
        <f ca="1">IFERROR(Calculations!G32,"")</f>
        <v>0</v>
      </c>
      <c r="H32" s="29">
        <f ca="1">IFERROR(Calculations!H32,"")</f>
        <v>0</v>
      </c>
      <c r="I32" s="29">
        <f ca="1">IFERROR(Calculations!I32,"")</f>
        <v>653392.19031907909</v>
      </c>
      <c r="J32" s="29"/>
    </row>
    <row r="33" spans="2:10" ht="30" customHeight="1">
      <c r="B33" s="28">
        <f ca="1">IFERROR(Calculations!B33,"")</f>
        <v>58</v>
      </c>
      <c r="C33" s="29">
        <f ca="1">IFERROR(Calculations!C33,"")</f>
        <v>85121.653061995181</v>
      </c>
      <c r="D33" s="29">
        <f ca="1">IFERROR(Calculations!D33,"")</f>
        <v>653392.19031907909</v>
      </c>
      <c r="E33" s="29">
        <f ca="1">IFERROR(Calculations!E33,"")</f>
        <v>40837.011894942443</v>
      </c>
      <c r="F33" s="29">
        <f ca="1">IFERROR(Calculations!F33,"")</f>
        <v>15000</v>
      </c>
      <c r="G33" s="29">
        <f ca="1">IFERROR(Calculations!G33,"")</f>
        <v>0</v>
      </c>
      <c r="H33" s="29">
        <f ca="1">IFERROR(Calculations!H33,"")</f>
        <v>0</v>
      </c>
      <c r="I33" s="29">
        <f ca="1">IFERROR(Calculations!I33,"")</f>
        <v>709229.20221402158</v>
      </c>
      <c r="J33" s="29"/>
    </row>
    <row r="34" spans="2:10" ht="30" customHeight="1">
      <c r="B34" s="28">
        <f ca="1">IFERROR(Calculations!B34,"")</f>
        <v>59</v>
      </c>
      <c r="C34" s="29">
        <f ca="1">IFERROR(Calculations!C34,"")</f>
        <v>87675.302653855033</v>
      </c>
      <c r="D34" s="29">
        <f ca="1">IFERROR(Calculations!D34,"")</f>
        <v>709229.20221402158</v>
      </c>
      <c r="E34" s="29">
        <f ca="1">IFERROR(Calculations!E34,"")</f>
        <v>44326.825138376349</v>
      </c>
      <c r="F34" s="29">
        <f ca="1">IFERROR(Calculations!F34,"")</f>
        <v>15000</v>
      </c>
      <c r="G34" s="29">
        <f ca="1">IFERROR(Calculations!G34,"")</f>
        <v>0</v>
      </c>
      <c r="H34" s="29">
        <f ca="1">IFERROR(Calculations!H34,"")</f>
        <v>0</v>
      </c>
      <c r="I34" s="29">
        <f ca="1">IFERROR(Calculations!I34,"")</f>
        <v>768556.02735239791</v>
      </c>
      <c r="J34" s="29"/>
    </row>
    <row r="35" spans="2:10" ht="30" customHeight="1">
      <c r="B35" s="28">
        <f ca="1">IFERROR(Calculations!B35,"")</f>
        <v>60</v>
      </c>
      <c r="C35" s="29">
        <f ca="1">IFERROR(Calculations!C35,"")</f>
        <v>90305.561733470677</v>
      </c>
      <c r="D35" s="29">
        <f ca="1">IFERROR(Calculations!D35,"")</f>
        <v>768556.02735239791</v>
      </c>
      <c r="E35" s="29">
        <f ca="1">IFERROR(Calculations!E35,"")</f>
        <v>48034.75170952487</v>
      </c>
      <c r="F35" s="29">
        <f ca="1">IFERROR(Calculations!F35,"")</f>
        <v>15000</v>
      </c>
      <c r="G35" s="29">
        <f ca="1">IFERROR(Calculations!G35,"")</f>
        <v>0</v>
      </c>
      <c r="H35" s="29">
        <f ca="1">IFERROR(Calculations!H35,"")</f>
        <v>0</v>
      </c>
      <c r="I35" s="29">
        <f ca="1">IFERROR(Calculations!I35,"")</f>
        <v>831590.7790619228</v>
      </c>
      <c r="J35" s="29"/>
    </row>
    <row r="36" spans="2:10" ht="30" customHeight="1">
      <c r="B36" s="28">
        <f ca="1">IFERROR(Calculations!B36,"")</f>
        <v>61</v>
      </c>
      <c r="C36" s="29">
        <f ca="1">IFERROR(Calculations!C36,"")</f>
        <v>93014.728585474804</v>
      </c>
      <c r="D36" s="29">
        <f ca="1">IFERROR(Calculations!D36,"")</f>
        <v>831590.7790619228</v>
      </c>
      <c r="E36" s="29">
        <f ca="1">IFERROR(Calculations!E36,"")</f>
        <v>51974.423691370175</v>
      </c>
      <c r="F36" s="29">
        <f ca="1">IFERROR(Calculations!F36,"")</f>
        <v>15000</v>
      </c>
      <c r="G36" s="29">
        <f ca="1">IFERROR(Calculations!G36,"")</f>
        <v>0</v>
      </c>
      <c r="H36" s="29">
        <f ca="1">IFERROR(Calculations!H36,"")</f>
        <v>0</v>
      </c>
      <c r="I36" s="29">
        <f ca="1">IFERROR(Calculations!I36,"")</f>
        <v>898565.20275329298</v>
      </c>
      <c r="J36" s="29"/>
    </row>
    <row r="37" spans="2:10" ht="30" customHeight="1">
      <c r="B37" s="28">
        <f ca="1">IFERROR(Calculations!B37,"")</f>
        <v>62</v>
      </c>
      <c r="C37" s="29">
        <f ca="1">IFERROR(Calculations!C37,"")</f>
        <v>95805.170443039053</v>
      </c>
      <c r="D37" s="29">
        <f ca="1">IFERROR(Calculations!D37,"")</f>
        <v>898565.20275329298</v>
      </c>
      <c r="E37" s="29">
        <f ca="1">IFERROR(Calculations!E37,"")</f>
        <v>56160.325172080811</v>
      </c>
      <c r="F37" s="29">
        <f ca="1">IFERROR(Calculations!F37,"")</f>
        <v>15000</v>
      </c>
      <c r="G37" s="29">
        <f ca="1">IFERROR(Calculations!G37,"")</f>
        <v>0</v>
      </c>
      <c r="H37" s="29">
        <f ca="1">IFERROR(Calculations!H37,"")</f>
        <v>0</v>
      </c>
      <c r="I37" s="29">
        <f ca="1">IFERROR(Calculations!I37,"")</f>
        <v>969725.52792537375</v>
      </c>
      <c r="J37" s="29"/>
    </row>
    <row r="38" spans="2:10" ht="30" customHeight="1">
      <c r="B38" s="28">
        <f ca="1">IFERROR(Calculations!B38,"")</f>
        <v>63</v>
      </c>
      <c r="C38" s="29">
        <f ca="1">IFERROR(Calculations!C38,"")</f>
        <v>98679.325556330223</v>
      </c>
      <c r="D38" s="29">
        <f ca="1">IFERROR(Calculations!D38,"")</f>
        <v>969725.52792537375</v>
      </c>
      <c r="E38" s="29">
        <f ca="1">IFERROR(Calculations!E38,"")</f>
        <v>60607.84549533586</v>
      </c>
      <c r="F38" s="29">
        <f ca="1">IFERROR(Calculations!F38,"")</f>
        <v>15000</v>
      </c>
      <c r="G38" s="29">
        <f ca="1">IFERROR(Calculations!G38,"")</f>
        <v>0</v>
      </c>
      <c r="H38" s="29">
        <f ca="1">IFERROR(Calculations!H38,"")</f>
        <v>0</v>
      </c>
      <c r="I38" s="29">
        <f ca="1">IFERROR(Calculations!I38,"")</f>
        <v>1045333.3734207096</v>
      </c>
      <c r="J38" s="29"/>
    </row>
    <row r="39" spans="2:10" ht="30" customHeight="1">
      <c r="B39" s="28">
        <f ca="1">IFERROR(Calculations!B39,"")</f>
        <v>64</v>
      </c>
      <c r="C39" s="29">
        <f ca="1">IFERROR(Calculations!C39,"")</f>
        <v>101639.70532302013</v>
      </c>
      <c r="D39" s="29">
        <f ca="1">IFERROR(Calculations!D39,"")</f>
        <v>1045333.3734207096</v>
      </c>
      <c r="E39" s="29">
        <f ca="1">IFERROR(Calculations!E39,"")</f>
        <v>65333.335838794352</v>
      </c>
      <c r="F39" s="29">
        <f ca="1">IFERROR(Calculations!F39,"")</f>
        <v>15000</v>
      </c>
      <c r="G39" s="29">
        <f ca="1">IFERROR(Calculations!G39,"")</f>
        <v>0</v>
      </c>
      <c r="H39" s="29">
        <f ca="1">IFERROR(Calculations!H39,"")</f>
        <v>0</v>
      </c>
      <c r="I39" s="29">
        <f ca="1">IFERROR(Calculations!I39,"")</f>
        <v>1125666.709259504</v>
      </c>
      <c r="J39" s="29"/>
    </row>
    <row r="40" spans="2:10" ht="30" customHeight="1">
      <c r="B40" s="28">
        <f ca="1">IFERROR(Calculations!B40,"")</f>
        <v>65</v>
      </c>
      <c r="C40" s="29">
        <f ca="1">IFERROR(Calculations!C40,"")</f>
        <v>0</v>
      </c>
      <c r="D40" s="29">
        <f ca="1">IFERROR(Calculations!D40,"")</f>
        <v>1125666.709259504</v>
      </c>
      <c r="E40" s="29">
        <f ca="1">IFERROR(Calculations!E40,"")</f>
        <v>70354.169328718999</v>
      </c>
      <c r="F40" s="29">
        <f ca="1">IFERROR(Calculations!F40,"")</f>
        <v>0</v>
      </c>
      <c r="G40" s="29">
        <f ca="1">IFERROR(Calculations!G40,"")</f>
        <v>78516.672362033016</v>
      </c>
      <c r="H40" s="29">
        <f ca="1">IFERROR(Calculations!H40,"")</f>
        <v>0</v>
      </c>
      <c r="I40" s="29">
        <f ca="1">IFERROR(Calculations!I40,"")</f>
        <v>1117504.2062261899</v>
      </c>
      <c r="J40" s="29"/>
    </row>
    <row r="41" spans="2:10" ht="30" customHeight="1">
      <c r="B41" s="28">
        <f ca="1">IFERROR(Calculations!B41,"")</f>
        <v>66</v>
      </c>
      <c r="C41" s="29">
        <f ca="1">IFERROR(Calculations!C41,"")</f>
        <v>0</v>
      </c>
      <c r="D41" s="29">
        <f ca="1">IFERROR(Calculations!D41,"")</f>
        <v>1117504.2062261899</v>
      </c>
      <c r="E41" s="29">
        <f ca="1">IFERROR(Calculations!E41,"")</f>
        <v>69844.012889136866</v>
      </c>
      <c r="F41" s="29">
        <f ca="1">IFERROR(Calculations!F41,"")</f>
        <v>0</v>
      </c>
      <c r="G41" s="29">
        <f ca="1">IFERROR(Calculations!G41,"")</f>
        <v>80872.172532894023</v>
      </c>
      <c r="H41" s="29">
        <f ca="1">IFERROR(Calculations!H41,"")</f>
        <v>0</v>
      </c>
      <c r="I41" s="29">
        <f ca="1">IFERROR(Calculations!I41,"")</f>
        <v>1106476.0465824327</v>
      </c>
      <c r="J41" s="29"/>
    </row>
    <row r="42" spans="2:10" ht="30" customHeight="1">
      <c r="B42" s="28">
        <f ca="1">IFERROR(Calculations!B42,"")</f>
        <v>67</v>
      </c>
      <c r="C42" s="29">
        <f ca="1">IFERROR(Calculations!C42,"")</f>
        <v>0</v>
      </c>
      <c r="D42" s="29">
        <f ca="1">IFERROR(Calculations!D42,"")</f>
        <v>1106476.0465824327</v>
      </c>
      <c r="E42" s="29">
        <f ca="1">IFERROR(Calculations!E42,"")</f>
        <v>69154.752911402044</v>
      </c>
      <c r="F42" s="29">
        <f ca="1">IFERROR(Calculations!F42,"")</f>
        <v>0</v>
      </c>
      <c r="G42" s="29">
        <f ca="1">IFERROR(Calculations!G42,"")</f>
        <v>83298.337708880834</v>
      </c>
      <c r="H42" s="29">
        <f ca="1">IFERROR(Calculations!H42,"")</f>
        <v>0</v>
      </c>
      <c r="I42" s="29">
        <f ca="1">IFERROR(Calculations!I42,"")</f>
        <v>1092332.4617849539</v>
      </c>
      <c r="J42" s="29"/>
    </row>
    <row r="43" spans="2:10" ht="30" customHeight="1">
      <c r="B43" s="28">
        <f ca="1">IFERROR(Calculations!B43,"")</f>
        <v>68</v>
      </c>
      <c r="C43" s="29">
        <f ca="1">IFERROR(Calculations!C43,"")</f>
        <v>0</v>
      </c>
      <c r="D43" s="29">
        <f ca="1">IFERROR(Calculations!D43,"")</f>
        <v>1092332.4617849539</v>
      </c>
      <c r="E43" s="29">
        <f ca="1">IFERROR(Calculations!E43,"")</f>
        <v>68270.778861559622</v>
      </c>
      <c r="F43" s="29">
        <f ca="1">IFERROR(Calculations!F43,"")</f>
        <v>0</v>
      </c>
      <c r="G43" s="29">
        <f ca="1">IFERROR(Calculations!G43,"")</f>
        <v>85797.287840147255</v>
      </c>
      <c r="H43" s="29">
        <f ca="1">IFERROR(Calculations!H43,"")</f>
        <v>0</v>
      </c>
      <c r="I43" s="29">
        <f ca="1">IFERROR(Calculations!I43,"")</f>
        <v>1074805.9528063664</v>
      </c>
      <c r="J43" s="29"/>
    </row>
    <row r="44" spans="2:10" ht="30" customHeight="1">
      <c r="B44" s="28">
        <f ca="1">IFERROR(Calculations!B44,"")</f>
        <v>69</v>
      </c>
      <c r="C44" s="29">
        <f ca="1">IFERROR(Calculations!C44,"")</f>
        <v>0</v>
      </c>
      <c r="D44" s="29">
        <f ca="1">IFERROR(Calculations!D44,"")</f>
        <v>1074805.9528063664</v>
      </c>
      <c r="E44" s="29">
        <f ca="1">IFERROR(Calculations!E44,"")</f>
        <v>67175.372050397898</v>
      </c>
      <c r="F44" s="29">
        <f ca="1">IFERROR(Calculations!F44,"")</f>
        <v>0</v>
      </c>
      <c r="G44" s="29">
        <f ca="1">IFERROR(Calculations!G44,"")</f>
        <v>88371.206475351661</v>
      </c>
      <c r="H44" s="29">
        <f ca="1">IFERROR(Calculations!H44,"")</f>
        <v>0</v>
      </c>
      <c r="I44" s="29">
        <f ca="1">IFERROR(Calculations!I44,"")</f>
        <v>1053610.1183814125</v>
      </c>
      <c r="J44" s="29"/>
    </row>
    <row r="45" spans="2:10" ht="30" customHeight="1">
      <c r="B45" s="28">
        <f ca="1">IFERROR(Calculations!B45,"")</f>
        <v>70</v>
      </c>
      <c r="C45" s="29">
        <f ca="1">IFERROR(Calculations!C45,"")</f>
        <v>0</v>
      </c>
      <c r="D45" s="29">
        <f ca="1">IFERROR(Calculations!D45,"")</f>
        <v>1053610.1183814125</v>
      </c>
      <c r="E45" s="29">
        <f ca="1">IFERROR(Calculations!E45,"")</f>
        <v>65850.632398838279</v>
      </c>
      <c r="F45" s="29">
        <f ca="1">IFERROR(Calculations!F45,"")</f>
        <v>0</v>
      </c>
      <c r="G45" s="29">
        <f ca="1">IFERROR(Calculations!G45,"")</f>
        <v>91022.342669612219</v>
      </c>
      <c r="H45" s="29">
        <f ca="1">IFERROR(Calculations!H45,"")</f>
        <v>0</v>
      </c>
      <c r="I45" s="29">
        <f ca="1">IFERROR(Calculations!I45,"")</f>
        <v>1028438.4081106384</v>
      </c>
      <c r="J45" s="29"/>
    </row>
    <row r="46" spans="2:10" ht="30" customHeight="1">
      <c r="B46" s="28">
        <f ca="1">IFERROR(Calculations!B46,"")</f>
        <v>71</v>
      </c>
      <c r="C46" s="29">
        <f ca="1">IFERROR(Calculations!C46,"")</f>
        <v>0</v>
      </c>
      <c r="D46" s="29">
        <f ca="1">IFERROR(Calculations!D46,"")</f>
        <v>1028438.4081106384</v>
      </c>
      <c r="E46" s="29">
        <f ca="1">IFERROR(Calculations!E46,"")</f>
        <v>64277.400506914899</v>
      </c>
      <c r="F46" s="29">
        <f ca="1">IFERROR(Calculations!F46,"")</f>
        <v>0</v>
      </c>
      <c r="G46" s="29">
        <f ca="1">IFERROR(Calculations!G46,"")</f>
        <v>93753.012949700598</v>
      </c>
      <c r="H46" s="29">
        <f ca="1">IFERROR(Calculations!H46,"")</f>
        <v>0</v>
      </c>
      <c r="I46" s="29">
        <f ca="1">IFERROR(Calculations!I46,"")</f>
        <v>998962.79566785262</v>
      </c>
      <c r="J46" s="29"/>
    </row>
    <row r="47" spans="2:10" ht="30" customHeight="1">
      <c r="B47" s="28">
        <f ca="1">IFERROR(Calculations!B47,"")</f>
        <v>72</v>
      </c>
      <c r="C47" s="29">
        <f ca="1">IFERROR(Calculations!C47,"")</f>
        <v>0</v>
      </c>
      <c r="D47" s="29">
        <f ca="1">IFERROR(Calculations!D47,"")</f>
        <v>998962.79566785262</v>
      </c>
      <c r="E47" s="29">
        <f ca="1">IFERROR(Calculations!E47,"")</f>
        <v>62435.174729240789</v>
      </c>
      <c r="F47" s="29">
        <f ca="1">IFERROR(Calculations!F47,"")</f>
        <v>0</v>
      </c>
      <c r="G47" s="29">
        <f ca="1">IFERROR(Calculations!G47,"")</f>
        <v>96565.603338191591</v>
      </c>
      <c r="H47" s="29">
        <f ca="1">IFERROR(Calculations!H47,"")</f>
        <v>0</v>
      </c>
      <c r="I47" s="29">
        <f ca="1">IFERROR(Calculations!I47,"")</f>
        <v>964832.3670589017</v>
      </c>
      <c r="J47" s="29"/>
    </row>
    <row r="48" spans="2:10" ht="30" customHeight="1">
      <c r="B48" s="28">
        <f ca="1">IFERROR(Calculations!B48,"")</f>
        <v>73</v>
      </c>
      <c r="C48" s="29">
        <f ca="1">IFERROR(Calculations!C48,"")</f>
        <v>0</v>
      </c>
      <c r="D48" s="29">
        <f ca="1">IFERROR(Calculations!D48,"")</f>
        <v>964832.3670589017</v>
      </c>
      <c r="E48" s="29">
        <f ca="1">IFERROR(Calculations!E48,"")</f>
        <v>60302.022941181356</v>
      </c>
      <c r="F48" s="29">
        <f ca="1">IFERROR(Calculations!F48,"")</f>
        <v>0</v>
      </c>
      <c r="G48" s="29">
        <f ca="1">IFERROR(Calculations!G48,"")</f>
        <v>99462.571438337356</v>
      </c>
      <c r="H48" s="29">
        <f ca="1">IFERROR(Calculations!H48,"")</f>
        <v>0</v>
      </c>
      <c r="I48" s="29">
        <f ca="1">IFERROR(Calculations!I48,"")</f>
        <v>925671.81856174569</v>
      </c>
      <c r="J48" s="29"/>
    </row>
    <row r="49" spans="2:10" ht="30" customHeight="1">
      <c r="B49" s="28">
        <f ca="1">IFERROR(Calculations!B49,"")</f>
        <v>74</v>
      </c>
      <c r="C49" s="29">
        <f ca="1">IFERROR(Calculations!C49,"")</f>
        <v>0</v>
      </c>
      <c r="D49" s="29">
        <f ca="1">IFERROR(Calculations!D49,"")</f>
        <v>925671.81856174569</v>
      </c>
      <c r="E49" s="29">
        <f ca="1">IFERROR(Calculations!E49,"")</f>
        <v>57854.488660109106</v>
      </c>
      <c r="F49" s="29">
        <f ca="1">IFERROR(Calculations!F49,"")</f>
        <v>0</v>
      </c>
      <c r="G49" s="29">
        <f ca="1">IFERROR(Calculations!G49,"")</f>
        <v>102446.44858148745</v>
      </c>
      <c r="H49" s="29">
        <f ca="1">IFERROR(Calculations!H49,"")</f>
        <v>0</v>
      </c>
      <c r="I49" s="29">
        <f ca="1">IFERROR(Calculations!I49,"")</f>
        <v>881079.8586403674</v>
      </c>
      <c r="J49" s="29"/>
    </row>
    <row r="50" spans="2:10" ht="30" customHeight="1">
      <c r="B50" s="28">
        <f ca="1">IFERROR(Calculations!B50,"")</f>
        <v>75</v>
      </c>
      <c r="C50" s="29">
        <f ca="1">IFERROR(Calculations!C50,"")</f>
        <v>0</v>
      </c>
      <c r="D50" s="29">
        <f ca="1">IFERROR(Calculations!D50,"")</f>
        <v>881079.8586403674</v>
      </c>
      <c r="E50" s="29">
        <f ca="1">IFERROR(Calculations!E50,"")</f>
        <v>55067.491165022962</v>
      </c>
      <c r="F50" s="29">
        <f ca="1">IFERROR(Calculations!F50,"")</f>
        <v>0</v>
      </c>
      <c r="G50" s="29">
        <f ca="1">IFERROR(Calculations!G50,"")</f>
        <v>105519.8420389321</v>
      </c>
      <c r="H50" s="29">
        <f ca="1">IFERROR(Calculations!H50,"")</f>
        <v>0</v>
      </c>
      <c r="I50" s="29">
        <f ca="1">IFERROR(Calculations!I50,"")</f>
        <v>830627.50776645821</v>
      </c>
      <c r="J50" s="29"/>
    </row>
    <row r="51" spans="2:10" ht="30" customHeight="1">
      <c r="B51" s="28">
        <f ca="1">IFERROR(Calculations!B51,"")</f>
        <v>76</v>
      </c>
      <c r="C51" s="29">
        <f ca="1">IFERROR(Calculations!C51,"")</f>
        <v>0</v>
      </c>
      <c r="D51" s="29">
        <f ca="1">IFERROR(Calculations!D51,"")</f>
        <v>830627.50776645821</v>
      </c>
      <c r="E51" s="29">
        <f ca="1">IFERROR(Calculations!E51,"")</f>
        <v>51914.219235403638</v>
      </c>
      <c r="F51" s="29">
        <f ca="1">IFERROR(Calculations!F51,"")</f>
        <v>0</v>
      </c>
      <c r="G51" s="29">
        <f ca="1">IFERROR(Calculations!G51,"")</f>
        <v>108685.43730010005</v>
      </c>
      <c r="H51" s="29">
        <f ca="1">IFERROR(Calculations!H51,"")</f>
        <v>0</v>
      </c>
      <c r="I51" s="29">
        <f ca="1">IFERROR(Calculations!I51,"")</f>
        <v>773856.28970176191</v>
      </c>
      <c r="J51" s="29"/>
    </row>
    <row r="52" spans="2:10" ht="30" customHeight="1">
      <c r="B52" s="28">
        <f ca="1">IFERROR(Calculations!B52,"")</f>
        <v>77</v>
      </c>
      <c r="C52" s="29">
        <f ca="1">IFERROR(Calculations!C52,"")</f>
        <v>0</v>
      </c>
      <c r="D52" s="29">
        <f ca="1">IFERROR(Calculations!D52,"")</f>
        <v>773856.28970176191</v>
      </c>
      <c r="E52" s="29">
        <f ca="1">IFERROR(Calculations!E52,"")</f>
        <v>48366.018106360119</v>
      </c>
      <c r="F52" s="29">
        <f ca="1">IFERROR(Calculations!F52,"")</f>
        <v>0</v>
      </c>
      <c r="G52" s="29">
        <f ca="1">IFERROR(Calculations!G52,"")</f>
        <v>111946.00041910303</v>
      </c>
      <c r="H52" s="29">
        <f ca="1">IFERROR(Calculations!H52,"")</f>
        <v>0</v>
      </c>
      <c r="I52" s="29">
        <f ca="1">IFERROR(Calculations!I52,"")</f>
        <v>710276.30738901894</v>
      </c>
      <c r="J52" s="29"/>
    </row>
    <row r="53" spans="2:10" ht="30" customHeight="1">
      <c r="B53" s="28">
        <f ca="1">IFERROR(Calculations!B53,"")</f>
        <v>78</v>
      </c>
      <c r="C53" s="29">
        <f ca="1">IFERROR(Calculations!C53,"")</f>
        <v>0</v>
      </c>
      <c r="D53" s="29">
        <f ca="1">IFERROR(Calculations!D53,"")</f>
        <v>710276.30738901894</v>
      </c>
      <c r="E53" s="29">
        <f ca="1">IFERROR(Calculations!E53,"")</f>
        <v>44392.269211813684</v>
      </c>
      <c r="F53" s="29">
        <f ca="1">IFERROR(Calculations!F53,"")</f>
        <v>0</v>
      </c>
      <c r="G53" s="29">
        <f ca="1">IFERROR(Calculations!G53,"")</f>
        <v>115304.38043167612</v>
      </c>
      <c r="H53" s="29">
        <f ca="1">IFERROR(Calculations!H53,"")</f>
        <v>0</v>
      </c>
      <c r="I53" s="29">
        <f ca="1">IFERROR(Calculations!I53,"")</f>
        <v>639364.19616915646</v>
      </c>
      <c r="J53" s="29"/>
    </row>
    <row r="54" spans="2:10" ht="30" customHeight="1">
      <c r="B54" s="28">
        <f ca="1">IFERROR(Calculations!B54,"")</f>
        <v>79</v>
      </c>
      <c r="C54" s="29">
        <f ca="1">IFERROR(Calculations!C54,"")</f>
        <v>0</v>
      </c>
      <c r="D54" s="29">
        <f ca="1">IFERROR(Calculations!D54,"")</f>
        <v>639364.19616915646</v>
      </c>
      <c r="E54" s="29">
        <f ca="1">IFERROR(Calculations!E54,"")</f>
        <v>39960.262260572279</v>
      </c>
      <c r="F54" s="29">
        <f ca="1">IFERROR(Calculations!F54,"")</f>
        <v>0</v>
      </c>
      <c r="G54" s="29">
        <f ca="1">IFERROR(Calculations!G54,"")</f>
        <v>118763.51184462642</v>
      </c>
      <c r="H54" s="29">
        <f ca="1">IFERROR(Calculations!H54,"")</f>
        <v>0</v>
      </c>
      <c r="I54" s="29">
        <f ca="1">IFERROR(Calculations!I54,"")</f>
        <v>560560.94658510236</v>
      </c>
      <c r="J54" s="29"/>
    </row>
    <row r="55" spans="2:10" ht="30" customHeight="1">
      <c r="B55" s="28">
        <f ca="1">IFERROR(Calculations!B55,"")</f>
        <v>80</v>
      </c>
      <c r="C55" s="29">
        <f ca="1">IFERROR(Calculations!C55,"")</f>
        <v>0</v>
      </c>
      <c r="D55" s="29">
        <f ca="1">IFERROR(Calculations!D55,"")</f>
        <v>560560.94658510236</v>
      </c>
      <c r="E55" s="29">
        <f ca="1">IFERROR(Calculations!E55,"")</f>
        <v>35035.059161568897</v>
      </c>
      <c r="F55" s="29">
        <f ca="1">IFERROR(Calculations!F55,"")</f>
        <v>0</v>
      </c>
      <c r="G55" s="29">
        <f ca="1">IFERROR(Calculations!G55,"")</f>
        <v>122326.4171999652</v>
      </c>
      <c r="H55" s="29">
        <f ca="1">IFERROR(Calculations!H55,"")</f>
        <v>0</v>
      </c>
      <c r="I55" s="29">
        <f ca="1">IFERROR(Calculations!I55,"")</f>
        <v>473269.58854670601</v>
      </c>
      <c r="J55" s="29"/>
    </row>
    <row r="56" spans="2:10" ht="30" customHeight="1">
      <c r="B56" s="28">
        <f ca="1">IFERROR(Calculations!B56,"")</f>
        <v>81</v>
      </c>
      <c r="C56" s="29">
        <f ca="1">IFERROR(Calculations!C56,"")</f>
        <v>0</v>
      </c>
      <c r="D56" s="29">
        <f ca="1">IFERROR(Calculations!D56,"")</f>
        <v>473269.58854670601</v>
      </c>
      <c r="E56" s="29">
        <f ca="1">IFERROR(Calculations!E56,"")</f>
        <v>29579.349284169126</v>
      </c>
      <c r="F56" s="29">
        <f ca="1">IFERROR(Calculations!F56,"")</f>
        <v>0</v>
      </c>
      <c r="G56" s="29">
        <f ca="1">IFERROR(Calculations!G56,"")</f>
        <v>125996.20971596417</v>
      </c>
      <c r="H56" s="29">
        <f ca="1">IFERROR(Calculations!H56,"")</f>
        <v>0</v>
      </c>
      <c r="I56" s="29">
        <f ca="1">IFERROR(Calculations!I56,"")</f>
        <v>376852.72811491101</v>
      </c>
      <c r="J56" s="29"/>
    </row>
    <row r="57" spans="2:10" ht="30" customHeight="1">
      <c r="B57" s="28">
        <f ca="1">IFERROR(Calculations!B57,"")</f>
        <v>82</v>
      </c>
      <c r="C57" s="29">
        <f ca="1">IFERROR(Calculations!C57,"")</f>
        <v>0</v>
      </c>
      <c r="D57" s="29">
        <f ca="1">IFERROR(Calculations!D57,"")</f>
        <v>376852.72811491101</v>
      </c>
      <c r="E57" s="29">
        <f ca="1">IFERROR(Calculations!E57,"")</f>
        <v>23553.295507181938</v>
      </c>
      <c r="F57" s="29">
        <f ca="1">IFERROR(Calculations!F57,"")</f>
        <v>0</v>
      </c>
      <c r="G57" s="29">
        <f ca="1">IFERROR(Calculations!G57,"")</f>
        <v>129776.09600744309</v>
      </c>
      <c r="H57" s="29">
        <f ca="1">IFERROR(Calculations!H57,"")</f>
        <v>0</v>
      </c>
      <c r="I57" s="29">
        <f ca="1">IFERROR(Calculations!I57,"")</f>
        <v>270629.92761464987</v>
      </c>
      <c r="J57" s="29"/>
    </row>
    <row r="58" spans="2:10" ht="30" customHeight="1">
      <c r="B58" s="28">
        <f ca="1">IFERROR(Calculations!B58,"")</f>
        <v>83</v>
      </c>
      <c r="C58" s="29">
        <f ca="1">IFERROR(Calculations!C58,"")</f>
        <v>0</v>
      </c>
      <c r="D58" s="29">
        <f ca="1">IFERROR(Calculations!D58,"")</f>
        <v>270629.92761464987</v>
      </c>
      <c r="E58" s="29">
        <f ca="1">IFERROR(Calculations!E58,"")</f>
        <v>16914.370475915617</v>
      </c>
      <c r="F58" s="29">
        <f ca="1">IFERROR(Calculations!F58,"")</f>
        <v>0</v>
      </c>
      <c r="G58" s="29">
        <f ca="1">IFERROR(Calculations!G58,"")</f>
        <v>133669.37888766639</v>
      </c>
      <c r="H58" s="29">
        <f ca="1">IFERROR(Calculations!H58,"")</f>
        <v>0</v>
      </c>
      <c r="I58" s="29">
        <f ca="1">IFERROR(Calculations!I58,"")</f>
        <v>153874.91920289909</v>
      </c>
      <c r="J58" s="29"/>
    </row>
    <row r="59" spans="2:10" ht="30" customHeight="1">
      <c r="B59" s="28">
        <f ca="1">IFERROR(Calculations!B59,"")</f>
        <v>84</v>
      </c>
      <c r="C59" s="29">
        <f ca="1">IFERROR(Calculations!C59,"")</f>
        <v>0</v>
      </c>
      <c r="D59" s="29">
        <f ca="1">IFERROR(Calculations!D59,"")</f>
        <v>153874.91920289909</v>
      </c>
      <c r="E59" s="29">
        <f ca="1">IFERROR(Calculations!E59,"")</f>
        <v>9617.1824501811934</v>
      </c>
      <c r="F59" s="29">
        <f ca="1">IFERROR(Calculations!F59,"")</f>
        <v>0</v>
      </c>
      <c r="G59" s="29">
        <f ca="1">IFERROR(Calculations!G59,"")</f>
        <v>137679.46025429637</v>
      </c>
      <c r="H59" s="29">
        <f ca="1">IFERROR(Calculations!H59,"")</f>
        <v>0</v>
      </c>
      <c r="I59" s="29">
        <f ca="1">IFERROR(Calculations!I59,"")</f>
        <v>25812.641398783919</v>
      </c>
      <c r="J59" s="29"/>
    </row>
  </sheetData>
  <dataConsolidate/>
  <mergeCells count="25">
    <mergeCell ref="B1:J1"/>
    <mergeCell ref="B4:D4"/>
    <mergeCell ref="B5:D5"/>
    <mergeCell ref="E5:G5"/>
    <mergeCell ref="H5:J5"/>
    <mergeCell ref="B2:J2"/>
    <mergeCell ref="B3:J3"/>
    <mergeCell ref="B12:C12"/>
    <mergeCell ref="B6:C6"/>
    <mergeCell ref="B7:C7"/>
    <mergeCell ref="E6:F6"/>
    <mergeCell ref="E7:F7"/>
    <mergeCell ref="E8:F8"/>
    <mergeCell ref="E9:F9"/>
    <mergeCell ref="E10:F10"/>
    <mergeCell ref="E11:F11"/>
    <mergeCell ref="B8:C8"/>
    <mergeCell ref="B9:C9"/>
    <mergeCell ref="B10:C10"/>
    <mergeCell ref="B11:C11"/>
    <mergeCell ref="H6:I6"/>
    <mergeCell ref="H7:I7"/>
    <mergeCell ref="H8:I8"/>
    <mergeCell ref="H9:I9"/>
    <mergeCell ref="H10:I10"/>
  </mergeCells>
  <conditionalFormatting sqref="B2">
    <cfRule type="expression" dxfId="2" priority="7">
      <formula>INDEX(SavingsBalance_RetiredPeriod,PlanYears)&lt;0</formula>
    </cfRule>
    <cfRule type="expression" dxfId="1" priority="8">
      <formula>INDEX(SavingsBalance_RetiredPeriod,PlanYears)&gt;=0</formula>
    </cfRule>
  </conditionalFormatting>
  <dataValidations xWindow="1290" yWindow="645" count="50">
    <dataValidation allowBlank="1" showInputMessage="1" showErrorMessage="1" prompt="Create a Retirement financial planner in this workbook. An overview chart is in row 3. Enter details in cells B6 through J12. Financial data is generated starting in cell B14" sqref="A1" xr:uid="{00000000-0002-0000-0000-000000000000}"/>
    <dataValidation allowBlank="1" showInputMessage="1" showErrorMessage="1" prompt="Title of this worksheet is in this cell. Information is automatically updated in cell below" sqref="B1" xr:uid="{00000000-0002-0000-0000-000001000000}"/>
    <dataValidation allowBlank="1" showInputMessage="1" showErrorMessage="1" prompt="Enter income, savings, investment, &amp; pension details for Timelines: Now &amp; At Retirement in cells B6 through G12. Enter uncertainty percentages in cells H6 through J10" sqref="B4" xr:uid="{00000000-0002-0000-0000-000002000000}"/>
    <dataValidation allowBlank="1" showInputMessage="1" showErrorMessage="1" prompt="Enter details for Timeline: Now (current date) in cells D6 through D12" sqref="B5:D5" xr:uid="{00000000-0002-0000-0000-000003000000}"/>
    <dataValidation allowBlank="1" showInputMessage="1" showErrorMessage="1" prompt="Enter details for Timeline: At Retirement in cells G6 through G11" sqref="E5" xr:uid="{00000000-0002-0000-0000-000004000000}"/>
    <dataValidation allowBlank="1" showInputMessage="1" showErrorMessage="1" prompt="Enter details for Uncertainty in cells J6 through J10" sqref="H5" xr:uid="{00000000-0002-0000-0000-000005000000}"/>
    <dataValidation allowBlank="1" showInputMessage="1" showErrorMessage="1" prompt="Enter Your Current Age in cell at right" sqref="B6:C6" xr:uid="{00000000-0002-0000-0000-000006000000}"/>
    <dataValidation allowBlank="1" showInputMessage="1" showErrorMessage="1" prompt="Enter Your Current Age in this cell" sqref="D6" xr:uid="{00000000-0002-0000-0000-000007000000}"/>
    <dataValidation allowBlank="1" showInputMessage="1" showErrorMessage="1" prompt="Enter Annual Income in cell at right" sqref="B7:C7" xr:uid="{00000000-0002-0000-0000-000008000000}"/>
    <dataValidation allowBlank="1" showInputMessage="1" showErrorMessage="1" prompt="Enter percent Annual Inflation and Income Increases in this cell" sqref="B8:D8" xr:uid="{00000000-0002-0000-0000-000009000000}"/>
    <dataValidation allowBlank="1" showInputMessage="1" showErrorMessage="1" prompt="Enter Annual Income in this cell" sqref="D7" xr:uid="{00000000-0002-0000-0000-00000B000000}"/>
    <dataValidation allowBlank="1" showInputMessage="1" showErrorMessage="1" prompt="Enter Retirement Savings Balance in cell at right" sqref="B9:C9" xr:uid="{00000000-0002-0000-0000-00000C000000}"/>
    <dataValidation allowBlank="1" showInputMessage="1" showErrorMessage="1" prompt="Enter Retirement Savings Balance in this cell" sqref="D9" xr:uid="{00000000-0002-0000-0000-00000D000000}"/>
    <dataValidation allowBlank="1" showInputMessage="1" showErrorMessage="1" prompt="Enter Annual Savings Amount in cell at right" sqref="B10:C10" xr:uid="{00000000-0002-0000-0000-00000E000000}"/>
    <dataValidation allowBlank="1" showInputMessage="1" showErrorMessage="1" prompt="Enter Annual Savings Amount in this cell" sqref="D10" xr:uid="{00000000-0002-0000-0000-00000F000000}"/>
    <dataValidation allowBlank="1" showInputMessage="1" showErrorMessage="1" prompt="Enter percent Annual Savings Increases in cell at right" sqref="B11:C11" xr:uid="{00000000-0002-0000-0000-000010000000}"/>
    <dataValidation allowBlank="1" showInputMessage="1" showErrorMessage="1" prompt="Enter percent Annual Savings Increases in this cell" sqref="D11" xr:uid="{00000000-0002-0000-0000-000011000000}"/>
    <dataValidation allowBlank="1" showInputMessage="1" showErrorMessage="1" prompt="Enter percent Investment Return in cell at right" sqref="B12:C12 E11:F11" xr:uid="{00000000-0002-0000-0000-000012000000}"/>
    <dataValidation allowBlank="1" showInputMessage="1" showErrorMessage="1" prompt="Enter percent Investment Return in this cell" sqref="D12 G11" xr:uid="{00000000-0002-0000-0000-000013000000}"/>
    <dataValidation allowBlank="1" showInputMessage="1" showErrorMessage="1" prompt="Enter Annual Pension Benefit in cell at right" sqref="E6:F6" xr:uid="{00000000-0002-0000-0000-000014000000}"/>
    <dataValidation allowBlank="1" showInputMessage="1" showErrorMessage="1" prompt="Enter Annual Pension Benefit in this cell" sqref="G6" xr:uid="{00000000-0002-0000-0000-000015000000}"/>
    <dataValidation allowBlank="1" showInputMessage="1" showErrorMessage="1" prompt="Enter percent Annual Pension Benefit Increases in cell at right" sqref="E7:F7" xr:uid="{00000000-0002-0000-0000-000016000000}"/>
    <dataValidation allowBlank="1" showInputMessage="1" showErrorMessage="1" prompt="Enter percent Annual Pension Benefit Increases in this cell" sqref="G7" xr:uid="{00000000-0002-0000-0000-000017000000}"/>
    <dataValidation allowBlank="1" showInputMessage="1" showErrorMessage="1" prompt="Enter Desired Retirement Age in cell at right" sqref="E8:F8" xr:uid="{00000000-0002-0000-0000-000018000000}"/>
    <dataValidation allowBlank="1" showInputMessage="1" showErrorMessage="1" prompt="Enter Desired Retirement Age in this cell" sqref="G8" xr:uid="{00000000-0002-0000-0000-000019000000}"/>
    <dataValidation allowBlank="1" showInputMessage="1" showErrorMessage="1" prompt="Enter Number of Years of Retirement Income in cell at right" sqref="E9:F9" xr:uid="{00000000-0002-0000-0000-00001A000000}"/>
    <dataValidation allowBlank="1" showInputMessage="1" showErrorMessage="1" prompt="Enter Number of Years of Retirement Income in this cell" sqref="G9" xr:uid="{00000000-0002-0000-0000-00001B000000}"/>
    <dataValidation allowBlank="1" showInputMessage="1" showErrorMessage="1" prompt="Enter percent Income Replacement in cell at right" sqref="E10:F10" xr:uid="{00000000-0002-0000-0000-00001C000000}"/>
    <dataValidation allowBlank="1" showInputMessage="1" showErrorMessage="1" prompt="Enter percent Income Replacement in this cell" sqref="G10" xr:uid="{00000000-0002-0000-0000-00001D000000}"/>
    <dataValidation allowBlank="1" showInputMessage="1" showErrorMessage="1" prompt="Enter percent Investment Return Uncertainty in cell at right" sqref="H6:I6" xr:uid="{00000000-0002-0000-0000-00001E000000}"/>
    <dataValidation allowBlank="1" showInputMessage="1" showErrorMessage="1" prompt="Enter percent Investment Return Uncertainty in this cell" sqref="J6" xr:uid="{00000000-0002-0000-0000-00001F000000}"/>
    <dataValidation allowBlank="1" showInputMessage="1" showErrorMessage="1" prompt="Enter percent Annual Savings Amount Uncertainty in cell at right" sqref="H7:I7" xr:uid="{00000000-0002-0000-0000-000020000000}"/>
    <dataValidation allowBlank="1" showInputMessage="1" showErrorMessage="1" prompt="Enter percent Annual Savings Amount Uncertainty in this cell" sqref="J7" xr:uid="{00000000-0002-0000-0000-000021000000}"/>
    <dataValidation allowBlank="1" showInputMessage="1" showErrorMessage="1" prompt="Enter percent Annual Savings Increases Uncertainty in cell at right" sqref="H8:I8" xr:uid="{00000000-0002-0000-0000-000022000000}"/>
    <dataValidation allowBlank="1" showInputMessage="1" showErrorMessage="1" prompt="Enter percent Annual Savings Increases Uncertainty in this cell" sqref="J8" xr:uid="{00000000-0002-0000-0000-000023000000}"/>
    <dataValidation allowBlank="1" showInputMessage="1" showErrorMessage="1" prompt="Enter percent Annual Pension Benefit Amount Uncertainty in cell at right" sqref="H9:I9" xr:uid="{00000000-0002-0000-0000-000024000000}"/>
    <dataValidation allowBlank="1" showInputMessage="1" showErrorMessage="1" prompt="Enter percent Annual Pension Benefit Amount Uncertainty in this cell" sqref="J9" xr:uid="{00000000-0002-0000-0000-000025000000}"/>
    <dataValidation allowBlank="1" showInputMessage="1" showErrorMessage="1" prompt="Enter percent Annual Pension Benefit Increases Uncertainty in cell at right" sqref="H10:I10" xr:uid="{00000000-0002-0000-0000-000026000000}"/>
    <dataValidation allowBlank="1" showInputMessage="1" showErrorMessage="1" prompt="Enter percent Annual Pension Benefit Increases Uncertainty in this cell" sqref="J10" xr:uid="{00000000-0002-0000-0000-000027000000}"/>
    <dataValidation allowBlank="1" showInputMessage="1" showErrorMessage="1" prompt="Retirement financial data is automatically updated in column B through I, below" sqref="B13" xr:uid="{00000000-0002-0000-0000-000028000000}"/>
    <dataValidation allowBlank="1" showInputMessage="1" showErrorMessage="1" prompt="Age is automatically calculated in this column under this heading" sqref="B14" xr:uid="{00000000-0002-0000-0000-000029000000}"/>
    <dataValidation allowBlank="1" showInputMessage="1" showErrorMessage="1" prompt="Salary is automatically calculated in this column under this heading" sqref="C14" xr:uid="{00000000-0002-0000-0000-00002A000000}"/>
    <dataValidation allowBlank="1" showInputMessage="1" showErrorMessage="1" prompt="Balance is automatically calculated in this column under this heading" sqref="D14" xr:uid="{00000000-0002-0000-0000-00002B000000}"/>
    <dataValidation allowBlank="1" showInputMessage="1" showErrorMessage="1" prompt="Interest is automatically calculated in this column under this heading" sqref="E14" xr:uid="{00000000-0002-0000-0000-00002C000000}"/>
    <dataValidation allowBlank="1" showInputMessage="1" showErrorMessage="1" prompt="Yearly Savings are automatically calculated in this column under this heading" sqref="F14" xr:uid="{00000000-0002-0000-0000-00002D000000}"/>
    <dataValidation allowBlank="1" showInputMessage="1" showErrorMessage="1" prompt="Desired Retirement Income is automatically calculated in this column under this heading" sqref="G14" xr:uid="{00000000-0002-0000-0000-00002E000000}"/>
    <dataValidation allowBlank="1" showInputMessage="1" showErrorMessage="1" prompt="Pension Income is automatically calculated in this column under this heading" sqref="H14" xr:uid="{00000000-0002-0000-0000-00002F000000}"/>
    <dataValidation allowBlank="1" showInputMessage="1" showErrorMessage="1" prompt="Year Ending Balance is automatically calculated in this column under this heading" sqref="I14:J14" xr:uid="{00000000-0002-0000-0000-000030000000}"/>
    <dataValidation allowBlank="1" showInputMessage="1" showErrorMessage="1" prompt="Information is automatically updated in this cell. Retirement planner chart is in cells below" sqref="B2" xr:uid="{00000000-0002-0000-0000-000031000000}"/>
    <dataValidation allowBlank="1" showInputMessage="1" showErrorMessage="1" prompt="Combo Chart illustrating Savings Disbursements, Cone of Uncertainty, Working Years, and Retirement Savings Balance is in this row" sqref="B3:J3" xr:uid="{7FCD2915-D67D-47FE-93C0-76AFCEB0C0FD}"/>
  </dataValidations>
  <printOptions horizontalCentered="1"/>
  <pageMargins left="0.4" right="0.4" top="0.3" bottom="0.7" header="0.3" footer="0.3"/>
  <pageSetup scale="50" fitToHeight="0" orientation="landscape" r:id="rId1"/>
  <headerFooter differentFirst="1">
    <oddFooter>Page &amp;P of &amp;N</oddFooter>
  </headerFooter>
  <rowBreaks count="1" manualBreakCount="1">
    <brk id="12" max="15" man="1"/>
  </row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theme="5"/>
  </sheetPr>
  <dimension ref="B1:AH114"/>
  <sheetViews>
    <sheetView showGridLines="0" zoomScaleNormal="100" workbookViewId="0"/>
  </sheetViews>
  <sheetFormatPr defaultColWidth="8.59765625" defaultRowHeight="15"/>
  <cols>
    <col min="1" max="1" width="2" customWidth="1"/>
    <col min="4" max="4" width="10.59765625" customWidth="1"/>
    <col min="6" max="6" width="14.59765625" customWidth="1"/>
    <col min="7" max="7" width="19.3984375" customWidth="1"/>
    <col min="8" max="8" width="11.8984375" customWidth="1"/>
    <col min="9" max="9" width="14.3984375" customWidth="1"/>
    <col min="11" max="12" width="10.59765625" customWidth="1"/>
    <col min="17" max="17" width="11.59765625" customWidth="1"/>
  </cols>
  <sheetData>
    <row r="1" spans="2:34" ht="22.15">
      <c r="B1" s="21" t="s">
        <v>33</v>
      </c>
    </row>
    <row r="2" spans="2:34">
      <c r="B2" s="3" t="s">
        <v>34</v>
      </c>
    </row>
    <row r="3" spans="2:34">
      <c r="F3">
        <f t="array" aca="1" ref="F3" ca="1">INDEX(B15:B114,MATCH(MIN(IF(ISNUMBER(SavingsBalance_RetiredPeriod),IF((SavingsBalance_RetiredPeriod&gt;0),SavingsBalance_RetiredPeriod))),SavingsBalance_RetiredPeriod,0))</f>
        <v>84</v>
      </c>
      <c r="G3" t="s">
        <v>35</v>
      </c>
      <c r="I3" s="22" t="s">
        <v>36</v>
      </c>
      <c r="M3" s="23"/>
    </row>
    <row r="4" spans="2:34">
      <c r="E4" t="str">
        <f ca="1">TEXT(INDEX(SavingsBalance_RetiredPeriod,PlanYears),"$#,###")</f>
        <v>$25,813</v>
      </c>
      <c r="F4">
        <f ca="1">YourCurrentAge+PlanYears-1</f>
        <v>84</v>
      </c>
      <c r="G4" t="s">
        <v>37</v>
      </c>
      <c r="I4" s="22" t="s">
        <v>38</v>
      </c>
    </row>
    <row r="6" spans="2:34">
      <c r="F6">
        <f ca="1">INDEX($F$3:$F$4,(INDEX(SavingsBalance_RetiredPeriod,PlanYears)&gt;0)+1)</f>
        <v>84</v>
      </c>
      <c r="G6" t="s">
        <v>39</v>
      </c>
      <c r="I6" t="str">
        <f ca="1">REPT(SUBSTITUTE(SUBSTITUTE(I3,"[AGE]",$F$6),"[BALANCE]",$E$4),INDEX(SavingsBalance_RetiredPeriod,PlanYears)&lt;0)</f>
        <v/>
      </c>
      <c r="M6" s="23"/>
    </row>
    <row r="7" spans="2:34">
      <c r="F7">
        <f ca="1">INDEX($F$3:$F$4,(INDEX(SavingsBalance_RetiredPeriod,PlanYears)&gt;0)+1)</f>
        <v>84</v>
      </c>
      <c r="G7" t="s">
        <v>40</v>
      </c>
      <c r="I7" s="22" t="str">
        <f ca="1">REPT(SUBSTITUTE(SUBSTITUTE(I4,"[AGE]",$F$6),"[BALANCE]",$E$4),INDEX(SavingsBalance_RetiredPeriod,PlanYears)&gt;=0)</f>
        <v>Congratulations! Your plan seems to work. At age 84, you will still have a savings balance of $25,813.</v>
      </c>
    </row>
    <row r="8" spans="2:34">
      <c r="D8" t="s">
        <v>41</v>
      </c>
      <c r="E8" t="b">
        <f ca="1">INDEX(SavingsBalance_RetiredPeriod,PlanYears)&gt;=0</f>
        <v>1</v>
      </c>
      <c r="G8" s="24" t="s">
        <v>42</v>
      </c>
      <c r="I8" s="25" t="s">
        <v>43</v>
      </c>
      <c r="K8" s="26"/>
      <c r="M8" s="23"/>
    </row>
    <row r="9" spans="2:34">
      <c r="F9">
        <v>1</v>
      </c>
      <c r="G9" t="str">
        <f ca="1">REPT("CONGRATULATIONS!",Success)</f>
        <v>CONGRATULATIONS!</v>
      </c>
      <c r="I9" t="str">
        <f ca="1">REPT("OOPS!",Success=FALSE)</f>
        <v/>
      </c>
    </row>
    <row r="10" spans="2:34">
      <c r="F10">
        <v>2</v>
      </c>
      <c r="G10" t="str">
        <f ca="1">REPT("At age",Success)</f>
        <v>At age</v>
      </c>
      <c r="I10" t="str">
        <f ca="1">REPT("This plan will only provide income up to age",Success=FALSE)</f>
        <v/>
      </c>
    </row>
    <row r="11" spans="2:34">
      <c r="F11">
        <v>3</v>
      </c>
      <c r="G11" t="str">
        <f ca="1">REPT(YourCurrentAge+PlanYears-1 &amp; ",",Success)</f>
        <v>84,</v>
      </c>
      <c r="I11" t="str">
        <f ca="1">REPT(F3 &amp; ".",Success=FALSE)</f>
        <v/>
      </c>
      <c r="M11" s="23"/>
    </row>
    <row r="12" spans="2:34">
      <c r="F12">
        <v>4</v>
      </c>
      <c r="G12" t="str">
        <f ca="1">REPT("you will have a savings balance of",Success)</f>
        <v>you will have a savings balance of</v>
      </c>
      <c r="I12" t="str">
        <f ca="1">REPT("You'll need to make adjustments.",Success=FALSE)</f>
        <v/>
      </c>
    </row>
    <row r="13" spans="2:34">
      <c r="F13">
        <v>5</v>
      </c>
      <c r="G13" t="str">
        <f ca="1">REPT(TEXT(INDEX(SavingsBalance_RetiredPeriod,PlanYears),"$#,###."),Success)</f>
        <v>$25,813.</v>
      </c>
    </row>
    <row r="14" spans="2:34"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 t="s">
        <v>44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44</v>
      </c>
      <c r="T14" t="s">
        <v>26</v>
      </c>
      <c r="U14" t="s">
        <v>27</v>
      </c>
      <c r="V14" t="s">
        <v>45</v>
      </c>
      <c r="W14" t="s">
        <v>46</v>
      </c>
      <c r="X14" t="s">
        <v>47</v>
      </c>
      <c r="Y14" t="s">
        <v>48</v>
      </c>
      <c r="AB14" t="s">
        <v>49</v>
      </c>
      <c r="AC14" t="s">
        <v>50</v>
      </c>
      <c r="AF14" t="s">
        <v>5</v>
      </c>
    </row>
    <row r="15" spans="2:34">
      <c r="B15">
        <f ca="1">Age</f>
        <v>40</v>
      </c>
      <c r="C15" s="27">
        <f>CurrentAnnualIncome</f>
        <v>50000</v>
      </c>
      <c r="D15" s="27">
        <f>CurrentRetirementSavingsBalance</f>
        <v>60000</v>
      </c>
      <c r="E15" s="27">
        <f ca="1">Interest</f>
        <v>3750</v>
      </c>
      <c r="F15" s="27">
        <f>CurrentAnnualSavingsAmount</f>
        <v>15000</v>
      </c>
      <c r="G15" s="27">
        <f ca="1">DesiredRetirementIncome</f>
        <v>0</v>
      </c>
      <c r="H15" s="27">
        <f ca="1">PensionIncome</f>
        <v>0</v>
      </c>
      <c r="I15" s="27">
        <f ca="1">EndBalance</f>
        <v>78750</v>
      </c>
      <c r="L15" s="27">
        <f>CurrentRetirementSavingsBalance</f>
        <v>60000</v>
      </c>
      <c r="M15" s="27">
        <f ca="1">Interest_Under</f>
        <v>3150</v>
      </c>
      <c r="N15" s="27">
        <f>CurrentAnnualSavingsAmount_Under</f>
        <v>15000</v>
      </c>
      <c r="O15" s="27">
        <f ca="1">DesiredRetirementIncome</f>
        <v>0</v>
      </c>
      <c r="P15" s="27">
        <f ca="1">PensionIncome_Under</f>
        <v>0</v>
      </c>
      <c r="Q15" s="27">
        <f ca="1">EndBalance</f>
        <v>78150</v>
      </c>
      <c r="T15" s="27">
        <f>CurrentRetirementSavingsBalance</f>
        <v>60000</v>
      </c>
      <c r="U15" s="27">
        <f ca="1">Interest_Over</f>
        <v>4350</v>
      </c>
      <c r="V15" s="27">
        <f>CurrentAnnualSavingsAmount_Over</f>
        <v>15000</v>
      </c>
      <c r="W15" s="27">
        <f ca="1">DesiredRetirementIncome</f>
        <v>0</v>
      </c>
      <c r="X15" s="27">
        <f ca="1">PensionIncome_Over</f>
        <v>0</v>
      </c>
      <c r="Y15" s="27">
        <f ca="1">EndBalance</f>
        <v>79350</v>
      </c>
      <c r="AB15" s="27">
        <f ca="1">IF(Calculations!B15&lt;DesiredRetirementAge,I15,NA())</f>
        <v>78750</v>
      </c>
      <c r="AC15" s="27" t="e">
        <f ca="1">IF(Calculations!B15&gt;=(DesiredRetirementAge-1),I15,NA())</f>
        <v>#N/A</v>
      </c>
      <c r="AD15" s="27"/>
      <c r="AF15" s="27">
        <f ca="1">Y15-Q15</f>
        <v>1200</v>
      </c>
      <c r="AH15" s="27"/>
    </row>
    <row r="16" spans="2:34">
      <c r="B16">
        <f ca="1">Age</f>
        <v>41</v>
      </c>
      <c r="C16" s="27">
        <f ca="1">Salary</f>
        <v>51500</v>
      </c>
      <c r="D16" s="27">
        <f ca="1">Balance</f>
        <v>78750</v>
      </c>
      <c r="E16" s="27">
        <f ca="1">Interest</f>
        <v>4921.875</v>
      </c>
      <c r="F16" s="27">
        <f ca="1">YearlySavings</f>
        <v>15000</v>
      </c>
      <c r="G16" s="27">
        <f ca="1">DesiredRetirementIncome</f>
        <v>0</v>
      </c>
      <c r="H16" s="27">
        <f ca="1">PensionIncome</f>
        <v>0</v>
      </c>
      <c r="I16" s="27">
        <f ca="1">EndBalance</f>
        <v>98671.875</v>
      </c>
      <c r="L16" s="27">
        <f ca="1">Balance_Under</f>
        <v>78150</v>
      </c>
      <c r="M16" s="27">
        <f ca="1">Interest_Under</f>
        <v>4102.875</v>
      </c>
      <c r="N16" s="27">
        <f ca="1">YearlySavings_Under</f>
        <v>15000</v>
      </c>
      <c r="O16" s="27">
        <f ca="1">DesiredRetirementIncome</f>
        <v>0</v>
      </c>
      <c r="P16" s="27">
        <f ca="1">PensionIncome_Under</f>
        <v>0</v>
      </c>
      <c r="Q16" s="27">
        <f ca="1">EndBalance</f>
        <v>97252.875</v>
      </c>
      <c r="T16" s="27">
        <f ca="1">Balance_Over</f>
        <v>79350</v>
      </c>
      <c r="U16" s="27">
        <f ca="1">Interest_Over</f>
        <v>5752.875</v>
      </c>
      <c r="V16" s="27">
        <f ca="1">YearlySavings_Over</f>
        <v>15000</v>
      </c>
      <c r="W16" s="27">
        <f ca="1">DesiredRetirementIncome</f>
        <v>0</v>
      </c>
      <c r="X16" s="27">
        <f ca="1">PensionIncome_Over</f>
        <v>0</v>
      </c>
      <c r="Y16" s="27">
        <f ca="1">EndBalance</f>
        <v>100102.875</v>
      </c>
      <c r="AB16" s="27">
        <f ca="1">IF(Calculations!B16&lt;DesiredRetirementAge,I16,NA())</f>
        <v>98671.875</v>
      </c>
      <c r="AC16" s="27" t="e">
        <f ca="1">IF(Calculations!B16&gt;=(DesiredRetirementAge-1),I16,NA())</f>
        <v>#N/A</v>
      </c>
      <c r="AD16" s="27"/>
      <c r="AF16" s="27">
        <f t="shared" ref="AF16:AF79" ca="1" si="0">Y16-Q16</f>
        <v>2850</v>
      </c>
      <c r="AH16" s="27"/>
    </row>
    <row r="17" spans="2:34">
      <c r="B17">
        <f ca="1">Age</f>
        <v>42</v>
      </c>
      <c r="C17" s="27">
        <f ca="1">Salary</f>
        <v>53045</v>
      </c>
      <c r="D17" s="27">
        <f ca="1">Balance</f>
        <v>98671.875</v>
      </c>
      <c r="E17" s="27">
        <f ca="1">Interest</f>
        <v>6166.9921875</v>
      </c>
      <c r="F17" s="27">
        <f ca="1">YearlySavings</f>
        <v>15000</v>
      </c>
      <c r="G17" s="27">
        <f ca="1">DesiredRetirementIncome</f>
        <v>0</v>
      </c>
      <c r="H17" s="27">
        <f ca="1">PensionIncome</f>
        <v>0</v>
      </c>
      <c r="I17" s="27">
        <f ca="1">EndBalance</f>
        <v>119838.8671875</v>
      </c>
      <c r="L17" s="27">
        <f ca="1">Balance_Under</f>
        <v>97252.875</v>
      </c>
      <c r="M17" s="27">
        <f ca="1">Interest_Under</f>
        <v>5105.7759374999996</v>
      </c>
      <c r="N17" s="27">
        <f ca="1">YearlySavings_Under</f>
        <v>15000</v>
      </c>
      <c r="O17" s="27">
        <f ca="1">DesiredRetirementIncome</f>
        <v>0</v>
      </c>
      <c r="P17" s="27">
        <f ca="1">PensionIncome_Under</f>
        <v>0</v>
      </c>
      <c r="Q17" s="27">
        <f ca="1">EndBalance</f>
        <v>117358.6509375</v>
      </c>
      <c r="T17" s="27">
        <f ca="1">Balance_Over</f>
        <v>100102.875</v>
      </c>
      <c r="U17" s="27">
        <f ca="1">Interest_Over</f>
        <v>7257.4584374999995</v>
      </c>
      <c r="V17" s="27">
        <f ca="1">YearlySavings_Over</f>
        <v>15000</v>
      </c>
      <c r="W17" s="27">
        <f ca="1">DesiredRetirementIncome</f>
        <v>0</v>
      </c>
      <c r="X17" s="27">
        <f ca="1">PensionIncome_Over</f>
        <v>0</v>
      </c>
      <c r="Y17" s="27">
        <f ca="1">EndBalance</f>
        <v>122360.3334375</v>
      </c>
      <c r="AB17" s="27">
        <f ca="1">IF(Calculations!B17&lt;DesiredRetirementAge,I17,NA())</f>
        <v>119838.8671875</v>
      </c>
      <c r="AC17" s="27" t="e">
        <f ca="1">IF(Calculations!B17&gt;=(DesiredRetirementAge-1),I17,NA())</f>
        <v>#N/A</v>
      </c>
      <c r="AD17" s="27"/>
      <c r="AF17" s="27">
        <f t="shared" ca="1" si="0"/>
        <v>5001.6824999999953</v>
      </c>
      <c r="AH17" s="27"/>
    </row>
    <row r="18" spans="2:34">
      <c r="B18">
        <f ca="1">Age</f>
        <v>43</v>
      </c>
      <c r="C18" s="27">
        <f ca="1">Salary</f>
        <v>54636.35</v>
      </c>
      <c r="D18" s="27">
        <f ca="1">Balance</f>
        <v>119838.8671875</v>
      </c>
      <c r="E18" s="27">
        <f ca="1">Interest</f>
        <v>7489.92919921875</v>
      </c>
      <c r="F18" s="27">
        <f ca="1">YearlySavings</f>
        <v>15000</v>
      </c>
      <c r="G18" s="27">
        <f ca="1">DesiredRetirementIncome</f>
        <v>0</v>
      </c>
      <c r="H18" s="27">
        <f ca="1">PensionIncome</f>
        <v>0</v>
      </c>
      <c r="I18" s="27">
        <f ca="1">EndBalance</f>
        <v>142328.79638671875</v>
      </c>
      <c r="L18" s="27">
        <f ca="1">Balance_Under</f>
        <v>117358.6509375</v>
      </c>
      <c r="M18" s="27">
        <f ca="1">Interest_Under</f>
        <v>6161.3291742187503</v>
      </c>
      <c r="N18" s="27">
        <f ca="1">YearlySavings_Under</f>
        <v>15000</v>
      </c>
      <c r="O18" s="27">
        <f ca="1">DesiredRetirementIncome</f>
        <v>0</v>
      </c>
      <c r="P18" s="27">
        <f ca="1">PensionIncome_Under</f>
        <v>0</v>
      </c>
      <c r="Q18" s="27">
        <f ca="1">EndBalance</f>
        <v>138519.98011171876</v>
      </c>
      <c r="T18" s="27">
        <f ca="1">Balance_Over</f>
        <v>122360.3334375</v>
      </c>
      <c r="U18" s="27">
        <f ca="1">Interest_Over</f>
        <v>8871.1241742187485</v>
      </c>
      <c r="V18" s="27">
        <f ca="1">YearlySavings_Over</f>
        <v>15000</v>
      </c>
      <c r="W18" s="27">
        <f ca="1">DesiredRetirementIncome</f>
        <v>0</v>
      </c>
      <c r="X18" s="27">
        <f ca="1">PensionIncome_Over</f>
        <v>0</v>
      </c>
      <c r="Y18" s="27">
        <f ca="1">EndBalance</f>
        <v>146231.45761171874</v>
      </c>
      <c r="AB18" s="27">
        <f ca="1">IF(Calculations!B18&lt;DesiredRetirementAge,I18,NA())</f>
        <v>142328.79638671875</v>
      </c>
      <c r="AC18" s="27" t="e">
        <f ca="1">IF(Calculations!B18&gt;=(DesiredRetirementAge-1),I18,NA())</f>
        <v>#N/A</v>
      </c>
      <c r="AD18" s="27"/>
      <c r="AF18" s="27">
        <f t="shared" ca="1" si="0"/>
        <v>7711.477499999979</v>
      </c>
      <c r="AH18" s="27"/>
    </row>
    <row r="19" spans="2:34">
      <c r="B19">
        <f ca="1">Age</f>
        <v>44</v>
      </c>
      <c r="C19" s="27">
        <f ca="1">Salary</f>
        <v>56275.440499999997</v>
      </c>
      <c r="D19" s="27">
        <f ca="1">Balance</f>
        <v>142328.79638671875</v>
      </c>
      <c r="E19" s="27">
        <f ca="1">Interest</f>
        <v>8895.5497741699219</v>
      </c>
      <c r="F19" s="27">
        <f ca="1">YearlySavings</f>
        <v>15000</v>
      </c>
      <c r="G19" s="27">
        <f ca="1">DesiredRetirementIncome</f>
        <v>0</v>
      </c>
      <c r="H19" s="27">
        <f ca="1">PensionIncome</f>
        <v>0</v>
      </c>
      <c r="I19" s="27">
        <f ca="1">EndBalance</f>
        <v>166224.34616088867</v>
      </c>
      <c r="L19" s="27">
        <f ca="1">Balance_Under</f>
        <v>138519.98011171876</v>
      </c>
      <c r="M19" s="27">
        <f ca="1">Interest_Under</f>
        <v>7272.2989558652343</v>
      </c>
      <c r="N19" s="27">
        <f ca="1">YearlySavings_Under</f>
        <v>15000</v>
      </c>
      <c r="O19" s="27">
        <f ca="1">DesiredRetirementIncome</f>
        <v>0</v>
      </c>
      <c r="P19" s="27">
        <f ca="1">PensionIncome_Under</f>
        <v>0</v>
      </c>
      <c r="Q19" s="27">
        <f ca="1">EndBalance</f>
        <v>160792.27906758399</v>
      </c>
      <c r="T19" s="27">
        <f ca="1">Balance_Over</f>
        <v>146231.45761171874</v>
      </c>
      <c r="U19" s="27">
        <f ca="1">Interest_Over</f>
        <v>10601.780676849608</v>
      </c>
      <c r="V19" s="27">
        <f ca="1">YearlySavings_Over</f>
        <v>15000</v>
      </c>
      <c r="W19" s="27">
        <f ca="1">DesiredRetirementIncome</f>
        <v>0</v>
      </c>
      <c r="X19" s="27">
        <f ca="1">PensionIncome_Over</f>
        <v>0</v>
      </c>
      <c r="Y19" s="27">
        <f ca="1">EndBalance</f>
        <v>171833.23828856833</v>
      </c>
      <c r="AB19" s="27">
        <f ca="1">IF(Calculations!B19&lt;DesiredRetirementAge,I19,NA())</f>
        <v>166224.34616088867</v>
      </c>
      <c r="AC19" s="27" t="e">
        <f ca="1">IF(Calculations!B19&gt;=(DesiredRetirementAge-1),I19,NA())</f>
        <v>#N/A</v>
      </c>
      <c r="AD19" s="27"/>
      <c r="AF19" s="27">
        <f t="shared" ca="1" si="0"/>
        <v>11040.959220984339</v>
      </c>
      <c r="AH19" s="27"/>
    </row>
    <row r="20" spans="2:34">
      <c r="B20">
        <f ca="1">Age</f>
        <v>45</v>
      </c>
      <c r="C20" s="27">
        <f ca="1">Salary</f>
        <v>57963.703714999996</v>
      </c>
      <c r="D20" s="27">
        <f ca="1">Balance</f>
        <v>166224.34616088867</v>
      </c>
      <c r="E20" s="27">
        <f ca="1">Interest</f>
        <v>10389.021635055542</v>
      </c>
      <c r="F20" s="27">
        <f ca="1">YearlySavings</f>
        <v>15000</v>
      </c>
      <c r="G20" s="27">
        <f ca="1">DesiredRetirementIncome</f>
        <v>0</v>
      </c>
      <c r="H20" s="27">
        <f ca="1">PensionIncome</f>
        <v>0</v>
      </c>
      <c r="I20" s="27">
        <f ca="1">EndBalance</f>
        <v>191613.36779594421</v>
      </c>
      <c r="L20" s="27">
        <f ca="1">Balance_Under</f>
        <v>160792.27906758399</v>
      </c>
      <c r="M20" s="27">
        <f ca="1">Interest_Under</f>
        <v>8441.594651048159</v>
      </c>
      <c r="N20" s="27">
        <f ca="1">YearlySavings_Under</f>
        <v>15000</v>
      </c>
      <c r="O20" s="27">
        <f ca="1">DesiredRetirementIncome</f>
        <v>0</v>
      </c>
      <c r="P20" s="27">
        <f ca="1">PensionIncome_Under</f>
        <v>0</v>
      </c>
      <c r="Q20" s="27">
        <f ca="1">EndBalance</f>
        <v>184233.87371863215</v>
      </c>
      <c r="T20" s="27">
        <f ca="1">Balance_Over</f>
        <v>171833.23828856833</v>
      </c>
      <c r="U20" s="27">
        <f ca="1">Interest_Over</f>
        <v>12457.909775921204</v>
      </c>
      <c r="V20" s="27">
        <f ca="1">YearlySavings_Over</f>
        <v>15000</v>
      </c>
      <c r="W20" s="27">
        <f ca="1">DesiredRetirementIncome</f>
        <v>0</v>
      </c>
      <c r="X20" s="27">
        <f ca="1">PensionIncome_Over</f>
        <v>0</v>
      </c>
      <c r="Y20" s="27">
        <f ca="1">EndBalance</f>
        <v>199291.14806448953</v>
      </c>
      <c r="AB20" s="27">
        <f ca="1">IF(Calculations!B20&lt;DesiredRetirementAge,I20,NA())</f>
        <v>191613.36779594421</v>
      </c>
      <c r="AC20" s="27" t="e">
        <f ca="1">IF(Calculations!B20&gt;=(DesiredRetirementAge-1),I20,NA())</f>
        <v>#N/A</v>
      </c>
      <c r="AD20" s="27"/>
      <c r="AF20" s="27">
        <f t="shared" ca="1" si="0"/>
        <v>15057.274345857382</v>
      </c>
      <c r="AH20" s="27"/>
    </row>
    <row r="21" spans="2:34">
      <c r="B21">
        <f ca="1">Age</f>
        <v>46</v>
      </c>
      <c r="C21" s="27">
        <f ca="1">Salary</f>
        <v>59702.614826449993</v>
      </c>
      <c r="D21" s="27">
        <f ca="1">Balance</f>
        <v>191613.36779594421</v>
      </c>
      <c r="E21" s="27">
        <f ca="1">Interest</f>
        <v>11975.835487246513</v>
      </c>
      <c r="F21" s="27">
        <f ca="1">YearlySavings</f>
        <v>15000</v>
      </c>
      <c r="G21" s="27">
        <f ca="1">DesiredRetirementIncome</f>
        <v>0</v>
      </c>
      <c r="H21" s="27">
        <f ca="1">PensionIncome</f>
        <v>0</v>
      </c>
      <c r="I21" s="27">
        <f ca="1">EndBalance</f>
        <v>218589.20328319073</v>
      </c>
      <c r="L21" s="27">
        <f ca="1">Balance_Under</f>
        <v>184233.87371863215</v>
      </c>
      <c r="M21" s="27">
        <f ca="1">Interest_Under</f>
        <v>9672.2783702281868</v>
      </c>
      <c r="N21" s="27">
        <f ca="1">YearlySavings_Under</f>
        <v>15000</v>
      </c>
      <c r="O21" s="27">
        <f ca="1">DesiredRetirementIncome</f>
        <v>0</v>
      </c>
      <c r="P21" s="27">
        <f ca="1">PensionIncome_Under</f>
        <v>0</v>
      </c>
      <c r="Q21" s="27">
        <f ca="1">EndBalance</f>
        <v>208906.15208886034</v>
      </c>
      <c r="T21" s="27">
        <f ca="1">Balance_Over</f>
        <v>199291.14806448953</v>
      </c>
      <c r="U21" s="27">
        <f ca="1">Interest_Over</f>
        <v>14448.60823467549</v>
      </c>
      <c r="V21" s="27">
        <f ca="1">YearlySavings_Over</f>
        <v>15000</v>
      </c>
      <c r="W21" s="27">
        <f ca="1">DesiredRetirementIncome</f>
        <v>0</v>
      </c>
      <c r="X21" s="27">
        <f ca="1">PensionIncome_Over</f>
        <v>0</v>
      </c>
      <c r="Y21" s="27">
        <f ca="1">EndBalance</f>
        <v>228739.75629916502</v>
      </c>
      <c r="AB21" s="27">
        <f ca="1">IF(Calculations!B21&lt;DesiredRetirementAge,I21,NA())</f>
        <v>218589.20328319073</v>
      </c>
      <c r="AC21" s="27" t="e">
        <f ca="1">IF(Calculations!B21&gt;=(DesiredRetirementAge-1),I21,NA())</f>
        <v>#N/A</v>
      </c>
      <c r="AD21" s="27"/>
      <c r="AF21" s="27">
        <f t="shared" ca="1" si="0"/>
        <v>19833.604210304678</v>
      </c>
      <c r="AH21" s="27"/>
    </row>
    <row r="22" spans="2:34">
      <c r="B22">
        <f ca="1">Age</f>
        <v>47</v>
      </c>
      <c r="C22" s="27">
        <f ca="1">Salary</f>
        <v>61493.693271243494</v>
      </c>
      <c r="D22" s="27">
        <f ca="1">Balance</f>
        <v>218589.20328319073</v>
      </c>
      <c r="E22" s="27">
        <f ca="1">Interest</f>
        <v>13661.82520519942</v>
      </c>
      <c r="F22" s="27">
        <f ca="1">YearlySavings</f>
        <v>15000</v>
      </c>
      <c r="G22" s="27">
        <f ca="1">DesiredRetirementIncome</f>
        <v>0</v>
      </c>
      <c r="H22" s="27">
        <f ca="1">PensionIncome</f>
        <v>0</v>
      </c>
      <c r="I22" s="27">
        <f ca="1">EndBalance</f>
        <v>247251.02848839015</v>
      </c>
      <c r="L22" s="27">
        <f ca="1">Balance_Under</f>
        <v>208906.15208886034</v>
      </c>
      <c r="M22" s="27">
        <f ca="1">Interest_Under</f>
        <v>10967.572984665167</v>
      </c>
      <c r="N22" s="27">
        <f ca="1">YearlySavings_Under</f>
        <v>15000</v>
      </c>
      <c r="O22" s="27">
        <f ca="1">DesiredRetirementIncome</f>
        <v>0</v>
      </c>
      <c r="P22" s="27">
        <f ca="1">PensionIncome_Under</f>
        <v>0</v>
      </c>
      <c r="Q22" s="27">
        <f ca="1">EndBalance</f>
        <v>234873.72507352551</v>
      </c>
      <c r="T22" s="27">
        <f ca="1">Balance_Over</f>
        <v>228739.75629916502</v>
      </c>
      <c r="U22" s="27">
        <f ca="1">Interest_Over</f>
        <v>16583.632331689463</v>
      </c>
      <c r="V22" s="27">
        <f ca="1">YearlySavings_Over</f>
        <v>15000</v>
      </c>
      <c r="W22" s="27">
        <f ca="1">DesiredRetirementIncome</f>
        <v>0</v>
      </c>
      <c r="X22" s="27">
        <f ca="1">PensionIncome_Over</f>
        <v>0</v>
      </c>
      <c r="Y22" s="27">
        <f ca="1">EndBalance</f>
        <v>260323.38863085449</v>
      </c>
      <c r="AB22" s="27">
        <f ca="1">IF(Calculations!B22&lt;DesiredRetirementAge,I22,NA())</f>
        <v>247251.02848839015</v>
      </c>
      <c r="AC22" s="27" t="e">
        <f ca="1">IF(Calculations!B22&gt;=(DesiredRetirementAge-1),I22,NA())</f>
        <v>#N/A</v>
      </c>
      <c r="AD22" s="27"/>
      <c r="AF22" s="27">
        <f t="shared" ca="1" si="0"/>
        <v>25449.663557328982</v>
      </c>
      <c r="AH22" s="27"/>
    </row>
    <row r="23" spans="2:34">
      <c r="B23">
        <f ca="1">Age</f>
        <v>48</v>
      </c>
      <c r="C23" s="27">
        <f ca="1">Salary</f>
        <v>63338.504069380797</v>
      </c>
      <c r="D23" s="27">
        <f ca="1">Balance</f>
        <v>247251.02848839015</v>
      </c>
      <c r="E23" s="27">
        <f ca="1">Interest</f>
        <v>15453.189280524384</v>
      </c>
      <c r="F23" s="27">
        <f ca="1">YearlySavings</f>
        <v>15000</v>
      </c>
      <c r="G23" s="27">
        <f ca="1">DesiredRetirementIncome</f>
        <v>0</v>
      </c>
      <c r="H23" s="27">
        <f ca="1">PensionIncome</f>
        <v>0</v>
      </c>
      <c r="I23" s="27">
        <f ca="1">EndBalance</f>
        <v>277704.21776891453</v>
      </c>
      <c r="L23" s="27">
        <f ca="1">Balance_Under</f>
        <v>234873.72507352551</v>
      </c>
      <c r="M23" s="27">
        <f ca="1">Interest_Under</f>
        <v>12330.870566360089</v>
      </c>
      <c r="N23" s="27">
        <f ca="1">YearlySavings_Under</f>
        <v>15000</v>
      </c>
      <c r="O23" s="27">
        <f ca="1">DesiredRetirementIncome</f>
        <v>0</v>
      </c>
      <c r="P23" s="27">
        <f ca="1">PensionIncome_Under</f>
        <v>0</v>
      </c>
      <c r="Q23" s="27">
        <f ca="1">EndBalance</f>
        <v>262204.59563988564</v>
      </c>
      <c r="T23" s="27">
        <f ca="1">Balance_Over</f>
        <v>260323.38863085449</v>
      </c>
      <c r="U23" s="27">
        <f ca="1">Interest_Over</f>
        <v>18873.445675736948</v>
      </c>
      <c r="V23" s="27">
        <f ca="1">YearlySavings_Over</f>
        <v>15000</v>
      </c>
      <c r="W23" s="27">
        <f ca="1">DesiredRetirementIncome</f>
        <v>0</v>
      </c>
      <c r="X23" s="27">
        <f ca="1">PensionIncome_Over</f>
        <v>0</v>
      </c>
      <c r="Y23" s="27">
        <f ca="1">EndBalance</f>
        <v>294196.83430659142</v>
      </c>
      <c r="AB23" s="27">
        <f ca="1">IF(Calculations!B23&lt;DesiredRetirementAge,I23,NA())</f>
        <v>277704.21776891453</v>
      </c>
      <c r="AC23" s="27" t="e">
        <f ca="1">IF(Calculations!B23&gt;=(DesiredRetirementAge-1),I23,NA())</f>
        <v>#N/A</v>
      </c>
      <c r="AD23" s="27"/>
      <c r="AF23" s="27">
        <f t="shared" ca="1" si="0"/>
        <v>31992.238666705787</v>
      </c>
      <c r="AH23" s="27"/>
    </row>
    <row r="24" spans="2:34">
      <c r="B24">
        <f ca="1">Age</f>
        <v>49</v>
      </c>
      <c r="C24" s="27">
        <f ca="1">Salary</f>
        <v>65238.659191462219</v>
      </c>
      <c r="D24" s="27">
        <f ca="1">Balance</f>
        <v>277704.21776891453</v>
      </c>
      <c r="E24" s="27">
        <f ca="1">Interest</f>
        <v>17356.513610557158</v>
      </c>
      <c r="F24" s="27">
        <f ca="1">YearlySavings</f>
        <v>15000</v>
      </c>
      <c r="G24" s="27">
        <f ca="1">DesiredRetirementIncome</f>
        <v>0</v>
      </c>
      <c r="H24" s="27">
        <f ca="1">PensionIncome</f>
        <v>0</v>
      </c>
      <c r="I24" s="27">
        <f ca="1">EndBalance</f>
        <v>310060.73137947172</v>
      </c>
      <c r="L24" s="27">
        <f ca="1">Balance_Under</f>
        <v>262204.59563988564</v>
      </c>
      <c r="M24" s="27">
        <f ca="1">Interest_Under</f>
        <v>13765.741271093995</v>
      </c>
      <c r="N24" s="27">
        <f ca="1">YearlySavings_Under</f>
        <v>15000</v>
      </c>
      <c r="O24" s="27">
        <f ca="1">DesiredRetirementIncome</f>
        <v>0</v>
      </c>
      <c r="P24" s="27">
        <f ca="1">PensionIncome_Under</f>
        <v>0</v>
      </c>
      <c r="Q24" s="27">
        <f ca="1">EndBalance</f>
        <v>290970.33691097965</v>
      </c>
      <c r="T24" s="27">
        <f ca="1">Balance_Over</f>
        <v>294196.83430659142</v>
      </c>
      <c r="U24" s="27">
        <f ca="1">Interest_Over</f>
        <v>21329.270487227877</v>
      </c>
      <c r="V24" s="27">
        <f ca="1">YearlySavings_Over</f>
        <v>15000</v>
      </c>
      <c r="W24" s="27">
        <f ca="1">DesiredRetirementIncome</f>
        <v>0</v>
      </c>
      <c r="X24" s="27">
        <f ca="1">PensionIncome_Over</f>
        <v>0</v>
      </c>
      <c r="Y24" s="27">
        <f ca="1">EndBalance</f>
        <v>330526.10479381931</v>
      </c>
      <c r="AB24" s="27">
        <f ca="1">IF(Calculations!B24&lt;DesiredRetirementAge,I24,NA())</f>
        <v>310060.73137947172</v>
      </c>
      <c r="AC24" s="27" t="e">
        <f ca="1">IF(Calculations!B24&gt;=(DesiredRetirementAge-1),I24,NA())</f>
        <v>#N/A</v>
      </c>
      <c r="AD24" s="27"/>
      <c r="AF24" s="27">
        <f t="shared" ca="1" si="0"/>
        <v>39555.76788283966</v>
      </c>
      <c r="AH24" s="27"/>
    </row>
    <row r="25" spans="2:34">
      <c r="B25">
        <f ca="1">Age</f>
        <v>50</v>
      </c>
      <c r="C25" s="27">
        <f ca="1">Salary</f>
        <v>67195.818967206083</v>
      </c>
      <c r="D25" s="27">
        <f ca="1">Balance</f>
        <v>310060.73137947172</v>
      </c>
      <c r="E25" s="27">
        <f ca="1">Interest</f>
        <v>19378.795711216982</v>
      </c>
      <c r="F25" s="27">
        <f ca="1">YearlySavings</f>
        <v>15000</v>
      </c>
      <c r="G25" s="27">
        <f ca="1">DesiredRetirementIncome</f>
        <v>0</v>
      </c>
      <c r="H25" s="27">
        <f ca="1">PensionIncome</f>
        <v>0</v>
      </c>
      <c r="I25" s="27">
        <f ca="1">EndBalance</f>
        <v>344439.5270906887</v>
      </c>
      <c r="L25" s="27">
        <f ca="1">Balance_Under</f>
        <v>290970.33691097965</v>
      </c>
      <c r="M25" s="27">
        <f ca="1">Interest_Under</f>
        <v>15275.942687826431</v>
      </c>
      <c r="N25" s="27">
        <f ca="1">YearlySavings_Under</f>
        <v>15000</v>
      </c>
      <c r="O25" s="27">
        <f ca="1">DesiredRetirementIncome</f>
        <v>0</v>
      </c>
      <c r="P25" s="27">
        <f ca="1">PensionIncome_Under</f>
        <v>0</v>
      </c>
      <c r="Q25" s="27">
        <f ca="1">EndBalance</f>
        <v>321246.27959880605</v>
      </c>
      <c r="T25" s="27">
        <f ca="1">Balance_Over</f>
        <v>330526.10479381931</v>
      </c>
      <c r="U25" s="27">
        <f ca="1">Interest_Over</f>
        <v>23963.142597551898</v>
      </c>
      <c r="V25" s="27">
        <f ca="1">YearlySavings_Over</f>
        <v>15000</v>
      </c>
      <c r="W25" s="27">
        <f ca="1">DesiredRetirementIncome</f>
        <v>0</v>
      </c>
      <c r="X25" s="27">
        <f ca="1">PensionIncome_Over</f>
        <v>0</v>
      </c>
      <c r="Y25" s="27">
        <f ca="1">EndBalance</f>
        <v>369489.24739137123</v>
      </c>
      <c r="AB25" s="27">
        <f ca="1">IF(Calculations!B25&lt;DesiredRetirementAge,I25,NA())</f>
        <v>344439.5270906887</v>
      </c>
      <c r="AC25" s="27" t="e">
        <f ca="1">IF(Calculations!B25&gt;=(DesiredRetirementAge-1),I25,NA())</f>
        <v>#N/A</v>
      </c>
      <c r="AD25" s="27"/>
      <c r="AF25" s="27">
        <f t="shared" ca="1" si="0"/>
        <v>48242.967792565178</v>
      </c>
      <c r="AH25" s="27"/>
    </row>
    <row r="26" spans="2:34">
      <c r="B26">
        <f ca="1">Age</f>
        <v>51</v>
      </c>
      <c r="C26" s="27">
        <f ca="1">Salary</f>
        <v>69211.693536222272</v>
      </c>
      <c r="D26" s="27">
        <f ca="1">Balance</f>
        <v>344439.5270906887</v>
      </c>
      <c r="E26" s="27">
        <f ca="1">Interest</f>
        <v>21527.470443168044</v>
      </c>
      <c r="F26" s="27">
        <f ca="1">YearlySavings</f>
        <v>15000</v>
      </c>
      <c r="G26" s="27">
        <f ca="1">DesiredRetirementIncome</f>
        <v>0</v>
      </c>
      <c r="H26" s="27">
        <f ca="1">PensionIncome</f>
        <v>0</v>
      </c>
      <c r="I26" s="27">
        <f ca="1">EndBalance</f>
        <v>380966.99753385677</v>
      </c>
      <c r="L26" s="27">
        <f ca="1">Balance_Under</f>
        <v>321246.27959880605</v>
      </c>
      <c r="M26" s="27">
        <f ca="1">Interest_Under</f>
        <v>16865.429678937318</v>
      </c>
      <c r="N26" s="27">
        <f ca="1">YearlySavings_Under</f>
        <v>15000</v>
      </c>
      <c r="O26" s="27">
        <f ca="1">DesiredRetirementIncome</f>
        <v>0</v>
      </c>
      <c r="P26" s="27">
        <f ca="1">PensionIncome_Under</f>
        <v>0</v>
      </c>
      <c r="Q26" s="27">
        <f ca="1">EndBalance</f>
        <v>353111.70927774336</v>
      </c>
      <c r="T26" s="27">
        <f ca="1">Balance_Over</f>
        <v>369489.24739137123</v>
      </c>
      <c r="U26" s="27">
        <f ca="1">Interest_Over</f>
        <v>26787.970435874413</v>
      </c>
      <c r="V26" s="27">
        <f ca="1">YearlySavings_Over</f>
        <v>15000</v>
      </c>
      <c r="W26" s="27">
        <f ca="1">DesiredRetirementIncome</f>
        <v>0</v>
      </c>
      <c r="X26" s="27">
        <f ca="1">PensionIncome_Over</f>
        <v>0</v>
      </c>
      <c r="Y26" s="27">
        <f ca="1">EndBalance</f>
        <v>411277.21782724565</v>
      </c>
      <c r="AB26" s="27">
        <f ca="1">IF(Calculations!B26&lt;DesiredRetirementAge,I26,NA())</f>
        <v>380966.99753385677</v>
      </c>
      <c r="AC26" s="27" t="e">
        <f ca="1">IF(Calculations!B26&gt;=(DesiredRetirementAge-1),I26,NA())</f>
        <v>#N/A</v>
      </c>
      <c r="AD26" s="27"/>
      <c r="AF26" s="27">
        <f t="shared" ca="1" si="0"/>
        <v>58165.508549502294</v>
      </c>
      <c r="AH26" s="27"/>
    </row>
    <row r="27" spans="2:34">
      <c r="B27">
        <f ca="1">Age</f>
        <v>52</v>
      </c>
      <c r="C27" s="27">
        <f ca="1">Salary</f>
        <v>71288.044342308945</v>
      </c>
      <c r="D27" s="27">
        <f ca="1">Balance</f>
        <v>380966.99753385677</v>
      </c>
      <c r="E27" s="27">
        <f ca="1">Interest</f>
        <v>23810.437345866048</v>
      </c>
      <c r="F27" s="27">
        <f ca="1">YearlySavings</f>
        <v>15000</v>
      </c>
      <c r="G27" s="27">
        <f ca="1">DesiredRetirementIncome</f>
        <v>0</v>
      </c>
      <c r="H27" s="27">
        <f ca="1">PensionIncome</f>
        <v>0</v>
      </c>
      <c r="I27" s="27">
        <f ca="1">EndBalance</f>
        <v>419777.43487972283</v>
      </c>
      <c r="L27" s="27">
        <f ca="1">Balance_Under</f>
        <v>353111.70927774336</v>
      </c>
      <c r="M27" s="27">
        <f ca="1">Interest_Under</f>
        <v>18538.364737081527</v>
      </c>
      <c r="N27" s="27">
        <f ca="1">YearlySavings_Under</f>
        <v>15000</v>
      </c>
      <c r="O27" s="27">
        <f ca="1">DesiredRetirementIncome</f>
        <v>0</v>
      </c>
      <c r="P27" s="27">
        <f ca="1">PensionIncome_Under</f>
        <v>0</v>
      </c>
      <c r="Q27" s="27">
        <f ca="1">EndBalance</f>
        <v>386650.07401482487</v>
      </c>
      <c r="T27" s="27">
        <f ca="1">Balance_Over</f>
        <v>411277.21782724565</v>
      </c>
      <c r="U27" s="27">
        <f ca="1">Interest_Over</f>
        <v>29817.598292475308</v>
      </c>
      <c r="V27" s="27">
        <f ca="1">YearlySavings_Over</f>
        <v>15000</v>
      </c>
      <c r="W27" s="27">
        <f ca="1">DesiredRetirementIncome</f>
        <v>0</v>
      </c>
      <c r="X27" s="27">
        <f ca="1">PensionIncome_Over</f>
        <v>0</v>
      </c>
      <c r="Y27" s="27">
        <f ca="1">EndBalance</f>
        <v>456094.81611972098</v>
      </c>
      <c r="AB27" s="27">
        <f ca="1">IF(Calculations!B27&lt;DesiredRetirementAge,I27,NA())</f>
        <v>419777.43487972283</v>
      </c>
      <c r="AC27" s="27" t="e">
        <f ca="1">IF(Calculations!B27&gt;=(DesiredRetirementAge-1),I27,NA())</f>
        <v>#N/A</v>
      </c>
      <c r="AD27" s="27"/>
      <c r="AF27" s="27">
        <f t="shared" ca="1" si="0"/>
        <v>69444.742104896111</v>
      </c>
      <c r="AH27" s="27"/>
    </row>
    <row r="28" spans="2:34">
      <c r="B28">
        <f ca="1">Age</f>
        <v>53</v>
      </c>
      <c r="C28" s="27">
        <f ca="1">Salary</f>
        <v>73426.685672578213</v>
      </c>
      <c r="D28" s="27">
        <f ca="1">Balance</f>
        <v>419777.43487972283</v>
      </c>
      <c r="E28" s="27">
        <f ca="1">Interest</f>
        <v>26236.089679982677</v>
      </c>
      <c r="F28" s="27">
        <f ca="1">YearlySavings</f>
        <v>15000</v>
      </c>
      <c r="G28" s="27">
        <f ca="1">DesiredRetirementIncome</f>
        <v>0</v>
      </c>
      <c r="H28" s="27">
        <f ca="1">PensionIncome</f>
        <v>0</v>
      </c>
      <c r="I28" s="27">
        <f ca="1">EndBalance</f>
        <v>461013.52455970552</v>
      </c>
      <c r="L28" s="27">
        <f ca="1">Balance_Under</f>
        <v>386650.07401482487</v>
      </c>
      <c r="M28" s="27">
        <f ca="1">Interest_Under</f>
        <v>20299.128885778304</v>
      </c>
      <c r="N28" s="27">
        <f ca="1">YearlySavings_Under</f>
        <v>15000</v>
      </c>
      <c r="O28" s="27">
        <f ca="1">DesiredRetirementIncome</f>
        <v>0</v>
      </c>
      <c r="P28" s="27">
        <f ca="1">PensionIncome_Under</f>
        <v>0</v>
      </c>
      <c r="Q28" s="27">
        <f ca="1">EndBalance</f>
        <v>421949.20290060318</v>
      </c>
      <c r="T28" s="27">
        <f ca="1">Balance_Over</f>
        <v>456094.81611972098</v>
      </c>
      <c r="U28" s="27">
        <f ca="1">Interest_Over</f>
        <v>33066.874168679766</v>
      </c>
      <c r="V28" s="27">
        <f ca="1">YearlySavings_Over</f>
        <v>15000</v>
      </c>
      <c r="W28" s="27">
        <f ca="1">DesiredRetirementIncome</f>
        <v>0</v>
      </c>
      <c r="X28" s="27">
        <f ca="1">PensionIncome_Over</f>
        <v>0</v>
      </c>
      <c r="Y28" s="27">
        <f ca="1">EndBalance</f>
        <v>504161.69028840074</v>
      </c>
      <c r="AB28" s="27">
        <f ca="1">IF(Calculations!B28&lt;DesiredRetirementAge,I28,NA())</f>
        <v>461013.52455970552</v>
      </c>
      <c r="AC28" s="27" t="e">
        <f ca="1">IF(Calculations!B28&gt;=(DesiredRetirementAge-1),I28,NA())</f>
        <v>#N/A</v>
      </c>
      <c r="AD28" s="27"/>
      <c r="AF28" s="27">
        <f t="shared" ca="1" si="0"/>
        <v>82212.487387797562</v>
      </c>
      <c r="AH28" s="27"/>
    </row>
    <row r="29" spans="2:34">
      <c r="B29">
        <f ca="1">Age</f>
        <v>54</v>
      </c>
      <c r="C29" s="27">
        <f ca="1">Salary</f>
        <v>75629.486242755564</v>
      </c>
      <c r="D29" s="27">
        <f ca="1">Balance</f>
        <v>461013.52455970552</v>
      </c>
      <c r="E29" s="27">
        <f ca="1">Interest</f>
        <v>28813.345284981595</v>
      </c>
      <c r="F29" s="27">
        <f ca="1">YearlySavings</f>
        <v>15000</v>
      </c>
      <c r="G29" s="27">
        <f ca="1">DesiredRetirementIncome</f>
        <v>0</v>
      </c>
      <c r="H29" s="27">
        <f ca="1">PensionIncome</f>
        <v>0</v>
      </c>
      <c r="I29" s="27">
        <f ca="1">EndBalance</f>
        <v>504826.86984468711</v>
      </c>
      <c r="L29" s="27">
        <f ca="1">Balance_Under</f>
        <v>421949.20290060318</v>
      </c>
      <c r="M29" s="27">
        <f ca="1">Interest_Under</f>
        <v>22152.333152281666</v>
      </c>
      <c r="N29" s="27">
        <f ca="1">YearlySavings_Under</f>
        <v>15000</v>
      </c>
      <c r="O29" s="27">
        <f ca="1">DesiredRetirementIncome</f>
        <v>0</v>
      </c>
      <c r="P29" s="27">
        <f ca="1">PensionIncome_Under</f>
        <v>0</v>
      </c>
      <c r="Q29" s="27">
        <f ca="1">EndBalance</f>
        <v>459101.53605288483</v>
      </c>
      <c r="T29" s="27">
        <f ca="1">Balance_Over</f>
        <v>504161.69028840074</v>
      </c>
      <c r="U29" s="27">
        <f ca="1">Interest_Over</f>
        <v>36551.722545909048</v>
      </c>
      <c r="V29" s="27">
        <f ca="1">YearlySavings_Over</f>
        <v>15000</v>
      </c>
      <c r="W29" s="27">
        <f ca="1">DesiredRetirementIncome</f>
        <v>0</v>
      </c>
      <c r="X29" s="27">
        <f ca="1">PensionIncome_Over</f>
        <v>0</v>
      </c>
      <c r="Y29" s="27">
        <f ca="1">EndBalance</f>
        <v>555713.41283430974</v>
      </c>
      <c r="AB29" s="27">
        <f ca="1">IF(Calculations!B29&lt;DesiredRetirementAge,I29,NA())</f>
        <v>504826.86984468711</v>
      </c>
      <c r="AC29" s="27" t="e">
        <f ca="1">IF(Calculations!B29&gt;=(DesiredRetirementAge-1),I29,NA())</f>
        <v>#N/A</v>
      </c>
      <c r="AD29" s="27"/>
      <c r="AF29" s="27">
        <f t="shared" ca="1" si="0"/>
        <v>96611.876781424915</v>
      </c>
      <c r="AH29" s="27"/>
    </row>
    <row r="30" spans="2:34">
      <c r="B30">
        <f ca="1">Age</f>
        <v>55</v>
      </c>
      <c r="C30" s="27">
        <f ca="1">Salary</f>
        <v>77898.370830038228</v>
      </c>
      <c r="D30" s="27">
        <f ca="1">Balance</f>
        <v>504826.86984468711</v>
      </c>
      <c r="E30" s="27">
        <f ca="1">Interest</f>
        <v>31551.679365292945</v>
      </c>
      <c r="F30" s="27">
        <f ca="1">YearlySavings</f>
        <v>15000</v>
      </c>
      <c r="G30" s="27">
        <f ca="1">DesiredRetirementIncome</f>
        <v>0</v>
      </c>
      <c r="H30" s="27">
        <f ca="1">PensionIncome</f>
        <v>0</v>
      </c>
      <c r="I30" s="27">
        <f ca="1">EndBalance</f>
        <v>551378.54920998006</v>
      </c>
      <c r="L30" s="27">
        <f ca="1">Balance_Under</f>
        <v>459101.53605288483</v>
      </c>
      <c r="M30" s="27">
        <f ca="1">Interest_Under</f>
        <v>24102.830642776451</v>
      </c>
      <c r="N30" s="27">
        <f ca="1">YearlySavings_Under</f>
        <v>15000</v>
      </c>
      <c r="O30" s="27">
        <f ca="1">DesiredRetirementIncome</f>
        <v>0</v>
      </c>
      <c r="P30" s="27">
        <f ca="1">PensionIncome_Under</f>
        <v>0</v>
      </c>
      <c r="Q30" s="27">
        <f ca="1">EndBalance</f>
        <v>498204.36669566127</v>
      </c>
      <c r="T30" s="27">
        <f ca="1">Balance_Over</f>
        <v>555713.41283430974</v>
      </c>
      <c r="U30" s="27">
        <f ca="1">Interest_Over</f>
        <v>40289.222430487454</v>
      </c>
      <c r="V30" s="27">
        <f ca="1">YearlySavings_Over</f>
        <v>15000</v>
      </c>
      <c r="W30" s="27">
        <f ca="1">DesiredRetirementIncome</f>
        <v>0</v>
      </c>
      <c r="X30" s="27">
        <f ca="1">PensionIncome_Over</f>
        <v>0</v>
      </c>
      <c r="Y30" s="27">
        <f ca="1">EndBalance</f>
        <v>611002.63526479714</v>
      </c>
      <c r="AB30" s="27">
        <f ca="1">IF(Calculations!B30&lt;DesiredRetirementAge,I30,NA())</f>
        <v>551378.54920998006</v>
      </c>
      <c r="AC30" s="27" t="e">
        <f ca="1">IF(Calculations!B30&gt;=(DesiredRetirementAge-1),I30,NA())</f>
        <v>#N/A</v>
      </c>
      <c r="AD30" s="27"/>
      <c r="AF30" s="27">
        <f t="shared" ca="1" si="0"/>
        <v>112798.26856913586</v>
      </c>
      <c r="AH30" s="27"/>
    </row>
    <row r="31" spans="2:34">
      <c r="B31">
        <f ca="1">Age</f>
        <v>56</v>
      </c>
      <c r="C31" s="27">
        <f ca="1">Salary</f>
        <v>80235.321954939369</v>
      </c>
      <c r="D31" s="27">
        <f ca="1">Balance</f>
        <v>551378.54920998006</v>
      </c>
      <c r="E31" s="27">
        <f ca="1">Interest</f>
        <v>34461.159325623754</v>
      </c>
      <c r="F31" s="27">
        <f ca="1">YearlySavings</f>
        <v>15000</v>
      </c>
      <c r="G31" s="27">
        <f ca="1">DesiredRetirementIncome</f>
        <v>0</v>
      </c>
      <c r="H31" s="27">
        <f ca="1">PensionIncome</f>
        <v>0</v>
      </c>
      <c r="I31" s="27">
        <f ca="1">EndBalance</f>
        <v>600839.70853560383</v>
      </c>
      <c r="L31" s="27">
        <f ca="1">Balance_Under</f>
        <v>498204.36669566127</v>
      </c>
      <c r="M31" s="27">
        <f ca="1">Interest_Under</f>
        <v>26155.729251522214</v>
      </c>
      <c r="N31" s="27">
        <f ca="1">YearlySavings_Under</f>
        <v>15000</v>
      </c>
      <c r="O31" s="27">
        <f ca="1">DesiredRetirementIncome</f>
        <v>0</v>
      </c>
      <c r="P31" s="27">
        <f ca="1">PensionIncome_Under</f>
        <v>0</v>
      </c>
      <c r="Q31" s="27">
        <f ca="1">EndBalance</f>
        <v>539360.09594718344</v>
      </c>
      <c r="T31" s="27">
        <f ca="1">Balance_Over</f>
        <v>611002.63526479714</v>
      </c>
      <c r="U31" s="27">
        <f ca="1">Interest_Over</f>
        <v>44297.691056697789</v>
      </c>
      <c r="V31" s="27">
        <f ca="1">YearlySavings_Over</f>
        <v>15000</v>
      </c>
      <c r="W31" s="27">
        <f ca="1">DesiredRetirementIncome</f>
        <v>0</v>
      </c>
      <c r="X31" s="27">
        <f ca="1">PensionIncome_Over</f>
        <v>0</v>
      </c>
      <c r="Y31" s="27">
        <f ca="1">EndBalance</f>
        <v>670300.32632149488</v>
      </c>
      <c r="AB31" s="27">
        <f ca="1">IF(Calculations!B31&lt;DesiredRetirementAge,I31,NA())</f>
        <v>600839.70853560383</v>
      </c>
      <c r="AC31" s="27" t="e">
        <f ca="1">IF(Calculations!B31&gt;=(DesiredRetirementAge-1),I31,NA())</f>
        <v>#N/A</v>
      </c>
      <c r="AD31" s="27"/>
      <c r="AF31" s="27">
        <f t="shared" ca="1" si="0"/>
        <v>130940.23037431145</v>
      </c>
      <c r="AH31" s="27"/>
    </row>
    <row r="32" spans="2:34">
      <c r="B32">
        <f ca="1">Age</f>
        <v>57</v>
      </c>
      <c r="C32" s="27">
        <f ca="1">Salary</f>
        <v>82642.381613587553</v>
      </c>
      <c r="D32" s="27">
        <f ca="1">Balance</f>
        <v>600839.70853560383</v>
      </c>
      <c r="E32" s="27">
        <f ca="1">Interest</f>
        <v>37552.481783475239</v>
      </c>
      <c r="F32" s="27">
        <f ca="1">YearlySavings</f>
        <v>15000</v>
      </c>
      <c r="G32" s="27">
        <f ca="1">DesiredRetirementIncome</f>
        <v>0</v>
      </c>
      <c r="H32" s="27">
        <f ca="1">PensionIncome</f>
        <v>0</v>
      </c>
      <c r="I32" s="27">
        <f ca="1">EndBalance</f>
        <v>653392.19031907909</v>
      </c>
      <c r="L32" s="27">
        <f ca="1">Balance_Under</f>
        <v>539360.09594718344</v>
      </c>
      <c r="M32" s="27">
        <f ca="1">Interest_Under</f>
        <v>28316.40503722713</v>
      </c>
      <c r="N32" s="27">
        <f ca="1">YearlySavings_Under</f>
        <v>15000</v>
      </c>
      <c r="O32" s="27">
        <f ca="1">DesiredRetirementIncome</f>
        <v>0</v>
      </c>
      <c r="P32" s="27">
        <f ca="1">PensionIncome_Under</f>
        <v>0</v>
      </c>
      <c r="Q32" s="27">
        <f ca="1">EndBalance</f>
        <v>582676.50098441052</v>
      </c>
      <c r="T32" s="27">
        <f ca="1">Balance_Over</f>
        <v>670300.32632149488</v>
      </c>
      <c r="U32" s="27">
        <f ca="1">Interest_Over</f>
        <v>48596.773658308375</v>
      </c>
      <c r="V32" s="27">
        <f ca="1">YearlySavings_Over</f>
        <v>15000</v>
      </c>
      <c r="W32" s="27">
        <f ca="1">DesiredRetirementIncome</f>
        <v>0</v>
      </c>
      <c r="X32" s="27">
        <f ca="1">PensionIncome_Over</f>
        <v>0</v>
      </c>
      <c r="Y32" s="27">
        <f ca="1">EndBalance</f>
        <v>733897.0999798032</v>
      </c>
      <c r="AB32" s="27">
        <f ca="1">IF(Calculations!B32&lt;DesiredRetirementAge,I32,NA())</f>
        <v>653392.19031907909</v>
      </c>
      <c r="AC32" s="27" t="e">
        <f ca="1">IF(Calculations!B32&gt;=(DesiredRetirementAge-1),I32,NA())</f>
        <v>#N/A</v>
      </c>
      <c r="AD32" s="27"/>
      <c r="AF32" s="27">
        <f t="shared" ca="1" si="0"/>
        <v>151220.59899539268</v>
      </c>
      <c r="AH32" s="27"/>
    </row>
    <row r="33" spans="2:34">
      <c r="B33">
        <f ca="1">Age</f>
        <v>58</v>
      </c>
      <c r="C33" s="27">
        <f ca="1">Salary</f>
        <v>85121.653061995181</v>
      </c>
      <c r="D33" s="27">
        <f ca="1">Balance</f>
        <v>653392.19031907909</v>
      </c>
      <c r="E33" s="27">
        <f ca="1">Interest</f>
        <v>40837.011894942443</v>
      </c>
      <c r="F33" s="27">
        <f ca="1">YearlySavings</f>
        <v>15000</v>
      </c>
      <c r="G33" s="27">
        <f ca="1">DesiredRetirementIncome</f>
        <v>0</v>
      </c>
      <c r="H33" s="27">
        <f ca="1">PensionIncome</f>
        <v>0</v>
      </c>
      <c r="I33" s="27">
        <f ca="1">EndBalance</f>
        <v>709229.20221402158</v>
      </c>
      <c r="L33" s="27">
        <f ca="1">Balance_Under</f>
        <v>582676.50098441052</v>
      </c>
      <c r="M33" s="27">
        <f ca="1">Interest_Under</f>
        <v>30590.51630168155</v>
      </c>
      <c r="N33" s="27">
        <f ca="1">YearlySavings_Under</f>
        <v>15000</v>
      </c>
      <c r="O33" s="27">
        <f ca="1">DesiredRetirementIncome</f>
        <v>0</v>
      </c>
      <c r="P33" s="27">
        <f ca="1">PensionIncome_Under</f>
        <v>0</v>
      </c>
      <c r="Q33" s="27">
        <f ca="1">EndBalance</f>
        <v>628267.01728609204</v>
      </c>
      <c r="T33" s="27">
        <f ca="1">Balance_Over</f>
        <v>733897.0999798032</v>
      </c>
      <c r="U33" s="27">
        <f ca="1">Interest_Over</f>
        <v>53207.539748535732</v>
      </c>
      <c r="V33" s="27">
        <f ca="1">YearlySavings_Over</f>
        <v>15000</v>
      </c>
      <c r="W33" s="27">
        <f ca="1">DesiredRetirementIncome</f>
        <v>0</v>
      </c>
      <c r="X33" s="27">
        <f ca="1">PensionIncome_Over</f>
        <v>0</v>
      </c>
      <c r="Y33" s="27">
        <f ca="1">EndBalance</f>
        <v>802104.63972833892</v>
      </c>
      <c r="AB33" s="27">
        <f ca="1">IF(Calculations!B33&lt;DesiredRetirementAge,I33,NA())</f>
        <v>709229.20221402158</v>
      </c>
      <c r="AC33" s="27" t="e">
        <f ca="1">IF(Calculations!B33&gt;=(DesiredRetirementAge-1),I33,NA())</f>
        <v>#N/A</v>
      </c>
      <c r="AD33" s="27"/>
      <c r="AF33" s="27">
        <f t="shared" ca="1" si="0"/>
        <v>173837.62244224688</v>
      </c>
      <c r="AH33" s="27"/>
    </row>
    <row r="34" spans="2:34">
      <c r="B34">
        <f ca="1">Age</f>
        <v>59</v>
      </c>
      <c r="C34" s="27">
        <f ca="1">Salary</f>
        <v>87675.302653855033</v>
      </c>
      <c r="D34" s="27">
        <f ca="1">Balance</f>
        <v>709229.20221402158</v>
      </c>
      <c r="E34" s="27">
        <f ca="1">Interest</f>
        <v>44326.825138376349</v>
      </c>
      <c r="F34" s="27">
        <f ca="1">YearlySavings</f>
        <v>15000</v>
      </c>
      <c r="G34" s="27">
        <f ca="1">DesiredRetirementIncome</f>
        <v>0</v>
      </c>
      <c r="H34" s="27">
        <f ca="1">PensionIncome</f>
        <v>0</v>
      </c>
      <c r="I34" s="27">
        <f ca="1">EndBalance</f>
        <v>768556.02735239791</v>
      </c>
      <c r="L34" s="27">
        <f ca="1">Balance_Under</f>
        <v>628267.01728609204</v>
      </c>
      <c r="M34" s="27">
        <f ca="1">Interest_Under</f>
        <v>32984.018407519834</v>
      </c>
      <c r="N34" s="27">
        <f ca="1">YearlySavings_Under</f>
        <v>15000</v>
      </c>
      <c r="O34" s="27">
        <f ca="1">DesiredRetirementIncome</f>
        <v>0</v>
      </c>
      <c r="P34" s="27">
        <f ca="1">PensionIncome_Under</f>
        <v>0</v>
      </c>
      <c r="Q34" s="27">
        <f ca="1">EndBalance</f>
        <v>676251.03569361183</v>
      </c>
      <c r="T34" s="27">
        <f ca="1">Balance_Over</f>
        <v>802104.63972833892</v>
      </c>
      <c r="U34" s="27">
        <f ca="1">Interest_Over</f>
        <v>58152.586380304565</v>
      </c>
      <c r="V34" s="27">
        <f ca="1">YearlySavings_Over</f>
        <v>15000</v>
      </c>
      <c r="W34" s="27">
        <f ca="1">DesiredRetirementIncome</f>
        <v>0</v>
      </c>
      <c r="X34" s="27">
        <f ca="1">PensionIncome_Over</f>
        <v>0</v>
      </c>
      <c r="Y34" s="27">
        <f ca="1">EndBalance</f>
        <v>875257.22610864346</v>
      </c>
      <c r="AB34" s="27">
        <f ca="1">IF(Calculations!B34&lt;DesiredRetirementAge,I34,NA())</f>
        <v>768556.02735239791</v>
      </c>
      <c r="AC34" s="27" t="e">
        <f ca="1">IF(Calculations!B34&gt;=(DesiredRetirementAge-1),I34,NA())</f>
        <v>#N/A</v>
      </c>
      <c r="AD34" s="27"/>
      <c r="AF34" s="27">
        <f t="shared" ca="1" si="0"/>
        <v>199006.19041503163</v>
      </c>
      <c r="AH34" s="27"/>
    </row>
    <row r="35" spans="2:34">
      <c r="B35">
        <f ca="1">Age</f>
        <v>60</v>
      </c>
      <c r="C35" s="27">
        <f ca="1">Salary</f>
        <v>90305.561733470677</v>
      </c>
      <c r="D35" s="27">
        <f ca="1">Balance</f>
        <v>768556.02735239791</v>
      </c>
      <c r="E35" s="27">
        <f ca="1">Interest</f>
        <v>48034.75170952487</v>
      </c>
      <c r="F35" s="27">
        <f ca="1">YearlySavings</f>
        <v>15000</v>
      </c>
      <c r="G35" s="27">
        <f ca="1">DesiredRetirementIncome</f>
        <v>0</v>
      </c>
      <c r="H35" s="27">
        <f ca="1">PensionIncome</f>
        <v>0</v>
      </c>
      <c r="I35" s="27">
        <f ca="1">EndBalance</f>
        <v>831590.7790619228</v>
      </c>
      <c r="L35" s="27">
        <f ca="1">Balance_Under</f>
        <v>676251.03569361183</v>
      </c>
      <c r="M35" s="27">
        <f ca="1">Interest_Under</f>
        <v>35503.179373914623</v>
      </c>
      <c r="N35" s="27">
        <f ca="1">YearlySavings_Under</f>
        <v>15000</v>
      </c>
      <c r="O35" s="27">
        <f ca="1">DesiredRetirementIncome</f>
        <v>0</v>
      </c>
      <c r="P35" s="27">
        <f ca="1">PensionIncome_Under</f>
        <v>0</v>
      </c>
      <c r="Q35" s="27">
        <f ca="1">EndBalance</f>
        <v>726754.21506752644</v>
      </c>
      <c r="T35" s="27">
        <f ca="1">Balance_Over</f>
        <v>875257.22610864346</v>
      </c>
      <c r="U35" s="27">
        <f ca="1">Interest_Over</f>
        <v>63456.148892876648</v>
      </c>
      <c r="V35" s="27">
        <f ca="1">YearlySavings_Over</f>
        <v>15000</v>
      </c>
      <c r="W35" s="27">
        <f ca="1">DesiredRetirementIncome</f>
        <v>0</v>
      </c>
      <c r="X35" s="27">
        <f ca="1">PensionIncome_Over</f>
        <v>0</v>
      </c>
      <c r="Y35" s="27">
        <f ca="1">EndBalance</f>
        <v>953713.37500152015</v>
      </c>
      <c r="AB35" s="27">
        <f ca="1">IF(Calculations!B35&lt;DesiredRetirementAge,I35,NA())</f>
        <v>831590.7790619228</v>
      </c>
      <c r="AC35" s="27" t="e">
        <f ca="1">IF(Calculations!B35&gt;=(DesiredRetirementAge-1),I35,NA())</f>
        <v>#N/A</v>
      </c>
      <c r="AD35" s="27"/>
      <c r="AF35" s="27">
        <f t="shared" ca="1" si="0"/>
        <v>226959.15993399371</v>
      </c>
      <c r="AH35" s="27"/>
    </row>
    <row r="36" spans="2:34">
      <c r="B36">
        <f ca="1">Age</f>
        <v>61</v>
      </c>
      <c r="C36" s="27">
        <f ca="1">Salary</f>
        <v>93014.728585474804</v>
      </c>
      <c r="D36" s="27">
        <f ca="1">Balance</f>
        <v>831590.7790619228</v>
      </c>
      <c r="E36" s="27">
        <f ca="1">Interest</f>
        <v>51974.423691370175</v>
      </c>
      <c r="F36" s="27">
        <f ca="1">YearlySavings</f>
        <v>15000</v>
      </c>
      <c r="G36" s="27">
        <f ca="1">DesiredRetirementIncome</f>
        <v>0</v>
      </c>
      <c r="H36" s="27">
        <f ca="1">PensionIncome</f>
        <v>0</v>
      </c>
      <c r="I36" s="27">
        <f ca="1">EndBalance</f>
        <v>898565.20275329298</v>
      </c>
      <c r="L36" s="27">
        <f ca="1">Balance_Under</f>
        <v>726754.21506752644</v>
      </c>
      <c r="M36" s="27">
        <f ca="1">Interest_Under</f>
        <v>38154.596291045134</v>
      </c>
      <c r="N36" s="27">
        <f ca="1">YearlySavings_Under</f>
        <v>15000</v>
      </c>
      <c r="O36" s="27">
        <f ca="1">DesiredRetirementIncome</f>
        <v>0</v>
      </c>
      <c r="P36" s="27">
        <f ca="1">PensionIncome_Under</f>
        <v>0</v>
      </c>
      <c r="Q36" s="27">
        <f ca="1">EndBalance</f>
        <v>779908.81135857152</v>
      </c>
      <c r="T36" s="27">
        <f ca="1">Balance_Over</f>
        <v>953713.37500152015</v>
      </c>
      <c r="U36" s="27">
        <f ca="1">Interest_Over</f>
        <v>69144.21968761021</v>
      </c>
      <c r="V36" s="27">
        <f ca="1">YearlySavings_Over</f>
        <v>15000</v>
      </c>
      <c r="W36" s="27">
        <f ca="1">DesiredRetirementIncome</f>
        <v>0</v>
      </c>
      <c r="X36" s="27">
        <f ca="1">PensionIncome_Over</f>
        <v>0</v>
      </c>
      <c r="Y36" s="27">
        <f ca="1">EndBalance</f>
        <v>1037857.5946891303</v>
      </c>
      <c r="AB36" s="27">
        <f ca="1">IF(Calculations!B36&lt;DesiredRetirementAge,I36,NA())</f>
        <v>898565.20275329298</v>
      </c>
      <c r="AC36" s="27" t="e">
        <f ca="1">IF(Calculations!B36&gt;=(DesiredRetirementAge-1),I36,NA())</f>
        <v>#N/A</v>
      </c>
      <c r="AD36" s="27"/>
      <c r="AF36" s="27">
        <f t="shared" ca="1" si="0"/>
        <v>257948.7833305588</v>
      </c>
      <c r="AH36" s="27"/>
    </row>
    <row r="37" spans="2:34">
      <c r="B37">
        <f ca="1">Age</f>
        <v>62</v>
      </c>
      <c r="C37" s="27">
        <f ca="1">Salary</f>
        <v>95805.170443039053</v>
      </c>
      <c r="D37" s="27">
        <f ca="1">Balance</f>
        <v>898565.20275329298</v>
      </c>
      <c r="E37" s="27">
        <f ca="1">Interest</f>
        <v>56160.325172080811</v>
      </c>
      <c r="F37" s="27">
        <f ca="1">YearlySavings</f>
        <v>15000</v>
      </c>
      <c r="G37" s="27">
        <f ca="1">DesiredRetirementIncome</f>
        <v>0</v>
      </c>
      <c r="H37" s="27">
        <f ca="1">PensionIncome</f>
        <v>0</v>
      </c>
      <c r="I37" s="27">
        <f ca="1">EndBalance</f>
        <v>969725.52792537375</v>
      </c>
      <c r="L37" s="27">
        <f ca="1">Balance_Under</f>
        <v>779908.81135857152</v>
      </c>
      <c r="M37" s="27">
        <f ca="1">Interest_Under</f>
        <v>40945.212596325</v>
      </c>
      <c r="N37" s="27">
        <f ca="1">YearlySavings_Under</f>
        <v>15000</v>
      </c>
      <c r="O37" s="27">
        <f ca="1">DesiredRetirementIncome</f>
        <v>0</v>
      </c>
      <c r="P37" s="27">
        <f ca="1">PensionIncome_Under</f>
        <v>0</v>
      </c>
      <c r="Q37" s="27">
        <f ca="1">EndBalance</f>
        <v>835854.02395489649</v>
      </c>
      <c r="T37" s="27">
        <f ca="1">Balance_Over</f>
        <v>1037857.5946891303</v>
      </c>
      <c r="U37" s="27">
        <f ca="1">Interest_Over</f>
        <v>75244.675614961947</v>
      </c>
      <c r="V37" s="27">
        <f ca="1">YearlySavings_Over</f>
        <v>15000</v>
      </c>
      <c r="W37" s="27">
        <f ca="1">DesiredRetirementIncome</f>
        <v>0</v>
      </c>
      <c r="X37" s="27">
        <f ca="1">PensionIncome_Over</f>
        <v>0</v>
      </c>
      <c r="Y37" s="27">
        <f ca="1">EndBalance</f>
        <v>1128102.2703040922</v>
      </c>
      <c r="AB37" s="27">
        <f ca="1">IF(Calculations!B37&lt;DesiredRetirementAge,I37,NA())</f>
        <v>969725.52792537375</v>
      </c>
      <c r="AC37" s="27" t="e">
        <f ca="1">IF(Calculations!B37&gt;=(DesiredRetirementAge-1),I37,NA())</f>
        <v>#N/A</v>
      </c>
      <c r="AD37" s="27"/>
      <c r="AF37" s="27">
        <f t="shared" ca="1" si="0"/>
        <v>292248.24634919572</v>
      </c>
      <c r="AH37" s="27"/>
    </row>
    <row r="38" spans="2:34">
      <c r="B38">
        <f ca="1">Age</f>
        <v>63</v>
      </c>
      <c r="C38" s="27">
        <f ca="1">Salary</f>
        <v>98679.325556330223</v>
      </c>
      <c r="D38" s="27">
        <f ca="1">Balance</f>
        <v>969725.52792537375</v>
      </c>
      <c r="E38" s="27">
        <f ca="1">Interest</f>
        <v>60607.84549533586</v>
      </c>
      <c r="F38" s="27">
        <f ca="1">YearlySavings</f>
        <v>15000</v>
      </c>
      <c r="G38" s="27">
        <f ca="1">DesiredRetirementIncome</f>
        <v>0</v>
      </c>
      <c r="H38" s="27">
        <f ca="1">PensionIncome</f>
        <v>0</v>
      </c>
      <c r="I38" s="27">
        <f ca="1">EndBalance</f>
        <v>1045333.3734207096</v>
      </c>
      <c r="L38" s="27">
        <f ca="1">Balance_Under</f>
        <v>835854.02395489649</v>
      </c>
      <c r="M38" s="27">
        <f ca="1">Interest_Under</f>
        <v>43882.336257632065</v>
      </c>
      <c r="N38" s="27">
        <f ca="1">YearlySavings_Under</f>
        <v>15000</v>
      </c>
      <c r="O38" s="27">
        <f ca="1">DesiredRetirementIncome</f>
        <v>0</v>
      </c>
      <c r="P38" s="27">
        <f ca="1">PensionIncome_Under</f>
        <v>0</v>
      </c>
      <c r="Q38" s="27">
        <f ca="1">EndBalance</f>
        <v>894736.36021252861</v>
      </c>
      <c r="T38" s="27">
        <f ca="1">Balance_Over</f>
        <v>1128102.2703040922</v>
      </c>
      <c r="U38" s="27">
        <f ca="1">Interest_Over</f>
        <v>81787.414597046678</v>
      </c>
      <c r="V38" s="27">
        <f ca="1">YearlySavings_Over</f>
        <v>15000</v>
      </c>
      <c r="W38" s="27">
        <f ca="1">DesiredRetirementIncome</f>
        <v>0</v>
      </c>
      <c r="X38" s="27">
        <f ca="1">PensionIncome_Over</f>
        <v>0</v>
      </c>
      <c r="Y38" s="27">
        <f ca="1">EndBalance</f>
        <v>1224889.6849011388</v>
      </c>
      <c r="AB38" s="27">
        <f ca="1">IF(Calculations!B38&lt;DesiredRetirementAge,I38,NA())</f>
        <v>1045333.3734207096</v>
      </c>
      <c r="AC38" s="27" t="e">
        <f ca="1">IF(Calculations!B38&gt;=(DesiredRetirementAge-1),I38,NA())</f>
        <v>#N/A</v>
      </c>
      <c r="AD38" s="27"/>
      <c r="AF38" s="27">
        <f t="shared" ca="1" si="0"/>
        <v>330153.32468861016</v>
      </c>
      <c r="AH38" s="27"/>
    </row>
    <row r="39" spans="2:34">
      <c r="B39">
        <f ca="1">Age</f>
        <v>64</v>
      </c>
      <c r="C39" s="27">
        <f ca="1">Salary</f>
        <v>101639.70532302013</v>
      </c>
      <c r="D39" s="27">
        <f ca="1">Balance</f>
        <v>1045333.3734207096</v>
      </c>
      <c r="E39" s="27">
        <f ca="1">Interest</f>
        <v>65333.335838794352</v>
      </c>
      <c r="F39" s="27">
        <f ca="1">YearlySavings</f>
        <v>15000</v>
      </c>
      <c r="G39" s="27">
        <f ca="1">DesiredRetirementIncome</f>
        <v>0</v>
      </c>
      <c r="H39" s="27">
        <f ca="1">PensionIncome</f>
        <v>0</v>
      </c>
      <c r="I39" s="27">
        <f ca="1">EndBalance</f>
        <v>1125666.709259504</v>
      </c>
      <c r="L39" s="27">
        <f ca="1">Balance_Under</f>
        <v>894736.36021252861</v>
      </c>
      <c r="M39" s="27">
        <f ca="1">Interest_Under</f>
        <v>46973.658911157749</v>
      </c>
      <c r="N39" s="27">
        <f ca="1">YearlySavings_Under</f>
        <v>15000</v>
      </c>
      <c r="O39" s="27">
        <f ca="1">DesiredRetirementIncome</f>
        <v>0</v>
      </c>
      <c r="P39" s="27">
        <f ca="1">PensionIncome_Under</f>
        <v>0</v>
      </c>
      <c r="Q39" s="27">
        <f ca="1">EndBalance</f>
        <v>956710.01912368636</v>
      </c>
      <c r="T39" s="27">
        <f ca="1">Balance_Over</f>
        <v>1224889.6849011388</v>
      </c>
      <c r="U39" s="27">
        <f ca="1">Interest_Over</f>
        <v>88804.50215533255</v>
      </c>
      <c r="V39" s="27">
        <f ca="1">YearlySavings_Over</f>
        <v>15000</v>
      </c>
      <c r="W39" s="27">
        <f ca="1">DesiredRetirementIncome</f>
        <v>0</v>
      </c>
      <c r="X39" s="27">
        <f ca="1">PensionIncome_Over</f>
        <v>0</v>
      </c>
      <c r="Y39" s="27">
        <f ca="1">EndBalance</f>
        <v>1328694.1870564714</v>
      </c>
      <c r="AB39" s="27">
        <f ca="1">IF(Calculations!B39&lt;DesiredRetirementAge,I39,NA())</f>
        <v>1125666.709259504</v>
      </c>
      <c r="AC39" s="27">
        <f ca="1">IF(Calculations!B39&gt;=(DesiredRetirementAge-1),I39,NA())</f>
        <v>1125666.709259504</v>
      </c>
      <c r="AD39" s="27"/>
      <c r="AF39" s="27">
        <f t="shared" ca="1" si="0"/>
        <v>371984.167932785</v>
      </c>
      <c r="AH39" s="27"/>
    </row>
    <row r="40" spans="2:34">
      <c r="B40">
        <f ca="1">Age</f>
        <v>65</v>
      </c>
      <c r="C40" s="27">
        <f ca="1">Salary</f>
        <v>0</v>
      </c>
      <c r="D40" s="27">
        <f ca="1">Balance</f>
        <v>1125666.709259504</v>
      </c>
      <c r="E40" s="27">
        <f ca="1">Interest</f>
        <v>70354.169328718999</v>
      </c>
      <c r="F40" s="27">
        <f ca="1">YearlySavings</f>
        <v>0</v>
      </c>
      <c r="G40" s="27">
        <f ca="1">DesiredRetirementIncome</f>
        <v>78516.672362033016</v>
      </c>
      <c r="H40" s="27">
        <f ca="1">PensionIncome</f>
        <v>0</v>
      </c>
      <c r="I40" s="27">
        <f ca="1">EndBalance</f>
        <v>1117504.2062261899</v>
      </c>
      <c r="L40" s="27">
        <f ca="1">Balance_Under</f>
        <v>956710.01912368636</v>
      </c>
      <c r="M40" s="27">
        <f ca="1">Interest_Under</f>
        <v>50227.276003993531</v>
      </c>
      <c r="N40" s="27">
        <f ca="1">YearlySavings_Under</f>
        <v>0</v>
      </c>
      <c r="O40" s="27">
        <f ca="1">DesiredRetirementIncome</f>
        <v>78516.672362033016</v>
      </c>
      <c r="P40" s="27">
        <f ca="1">PensionIncome_Under</f>
        <v>0</v>
      </c>
      <c r="Q40" s="27">
        <f ca="1">EndBalance</f>
        <v>928420.6227656469</v>
      </c>
      <c r="T40" s="27">
        <f ca="1">Balance_Over</f>
        <v>1328694.1870564714</v>
      </c>
      <c r="U40" s="27">
        <f ca="1">Interest_Over</f>
        <v>96330.328561594171</v>
      </c>
      <c r="V40" s="27">
        <f ca="1">YearlySavings_Over</f>
        <v>0</v>
      </c>
      <c r="W40" s="27">
        <f ca="1">DesiredRetirementIncome</f>
        <v>78516.672362033016</v>
      </c>
      <c r="X40" s="27">
        <f ca="1">PensionIncome_Over</f>
        <v>0</v>
      </c>
      <c r="Y40" s="27">
        <f ca="1">EndBalance</f>
        <v>1346507.8432560326</v>
      </c>
      <c r="AB40" s="27" t="e">
        <f ca="1">IF(Calculations!B40&lt;DesiredRetirementAge,I40,NA())</f>
        <v>#N/A</v>
      </c>
      <c r="AC40" s="27">
        <f ca="1">IF(Calculations!B40&gt;=(DesiredRetirementAge-1),I40,NA())</f>
        <v>1117504.2062261899</v>
      </c>
      <c r="AD40" s="27"/>
      <c r="AF40" s="27">
        <f t="shared" ca="1" si="0"/>
        <v>418087.22049038566</v>
      </c>
      <c r="AH40" s="27"/>
    </row>
    <row r="41" spans="2:34">
      <c r="B41">
        <f ca="1">Age</f>
        <v>66</v>
      </c>
      <c r="C41" s="27">
        <f ca="1">Salary</f>
        <v>0</v>
      </c>
      <c r="D41" s="27">
        <f ca="1">Balance</f>
        <v>1117504.2062261899</v>
      </c>
      <c r="E41" s="27">
        <f ca="1">Interest</f>
        <v>69844.012889136866</v>
      </c>
      <c r="F41" s="27">
        <f ca="1">YearlySavings</f>
        <v>0</v>
      </c>
      <c r="G41" s="27">
        <f ca="1">DesiredRetirementIncome</f>
        <v>80872.172532894023</v>
      </c>
      <c r="H41" s="27">
        <f ca="1">PensionIncome</f>
        <v>0</v>
      </c>
      <c r="I41" s="27">
        <f ca="1">EndBalance</f>
        <v>1106476.0465824327</v>
      </c>
      <c r="L41" s="27">
        <f ca="1">Balance_Under</f>
        <v>928420.6227656469</v>
      </c>
      <c r="M41" s="27">
        <f ca="1">Interest_Under</f>
        <v>48742.082695196463</v>
      </c>
      <c r="N41" s="27">
        <f ca="1">YearlySavings_Under</f>
        <v>0</v>
      </c>
      <c r="O41" s="27">
        <f ca="1">DesiredRetirementIncome</f>
        <v>80872.172532894023</v>
      </c>
      <c r="P41" s="27">
        <f ca="1">PensionIncome_Under</f>
        <v>0</v>
      </c>
      <c r="Q41" s="27">
        <f ca="1">EndBalance</f>
        <v>896290.53292794933</v>
      </c>
      <c r="T41" s="27">
        <f ca="1">Balance_Over</f>
        <v>1346507.8432560326</v>
      </c>
      <c r="U41" s="27">
        <f ca="1">Interest_Over</f>
        <v>97621.818636062351</v>
      </c>
      <c r="V41" s="27">
        <f ca="1">YearlySavings_Over</f>
        <v>0</v>
      </c>
      <c r="W41" s="27">
        <f ca="1">DesiredRetirementIncome</f>
        <v>80872.172532894023</v>
      </c>
      <c r="X41" s="27">
        <f ca="1">PensionIncome_Over</f>
        <v>0</v>
      </c>
      <c r="Y41" s="27">
        <f ca="1">EndBalance</f>
        <v>1363257.4893592009</v>
      </c>
      <c r="AB41" s="27" t="e">
        <f ca="1">IF(Calculations!B41&lt;DesiredRetirementAge,I41,NA())</f>
        <v>#N/A</v>
      </c>
      <c r="AC41" s="27">
        <f ca="1">IF(Calculations!B41&gt;=(DesiredRetirementAge-1),I41,NA())</f>
        <v>1106476.0465824327</v>
      </c>
      <c r="AD41" s="27"/>
      <c r="AF41" s="27">
        <f t="shared" ca="1" si="0"/>
        <v>466966.9564312516</v>
      </c>
      <c r="AH41" s="27"/>
    </row>
    <row r="42" spans="2:34">
      <c r="B42">
        <f ca="1">Age</f>
        <v>67</v>
      </c>
      <c r="C42" s="27">
        <f ca="1">Salary</f>
        <v>0</v>
      </c>
      <c r="D42" s="27">
        <f ca="1">Balance</f>
        <v>1106476.0465824327</v>
      </c>
      <c r="E42" s="27">
        <f ca="1">Interest</f>
        <v>69154.752911402044</v>
      </c>
      <c r="F42" s="27">
        <f ca="1">YearlySavings</f>
        <v>0</v>
      </c>
      <c r="G42" s="27">
        <f ca="1">DesiredRetirementIncome</f>
        <v>83298.337708880834</v>
      </c>
      <c r="H42" s="27">
        <f ca="1">PensionIncome</f>
        <v>0</v>
      </c>
      <c r="I42" s="27">
        <f ca="1">EndBalance</f>
        <v>1092332.4617849539</v>
      </c>
      <c r="L42" s="27">
        <f ca="1">Balance_Under</f>
        <v>896290.53292794933</v>
      </c>
      <c r="M42" s="27">
        <f ca="1">Interest_Under</f>
        <v>47055.252978717341</v>
      </c>
      <c r="N42" s="27">
        <f ca="1">YearlySavings_Under</f>
        <v>0</v>
      </c>
      <c r="O42" s="27">
        <f ca="1">DesiredRetirementIncome</f>
        <v>83298.337708880834</v>
      </c>
      <c r="P42" s="27">
        <f ca="1">PensionIncome_Under</f>
        <v>0</v>
      </c>
      <c r="Q42" s="27">
        <f ca="1">EndBalance</f>
        <v>860047.44819778576</v>
      </c>
      <c r="T42" s="27">
        <f ca="1">Balance_Over</f>
        <v>1363257.4893592009</v>
      </c>
      <c r="U42" s="27">
        <f ca="1">Interest_Over</f>
        <v>98836.167978542057</v>
      </c>
      <c r="V42" s="27">
        <f ca="1">YearlySavings_Over</f>
        <v>0</v>
      </c>
      <c r="W42" s="27">
        <f ca="1">DesiredRetirementIncome</f>
        <v>83298.337708880834</v>
      </c>
      <c r="X42" s="27">
        <f ca="1">PensionIncome_Over</f>
        <v>0</v>
      </c>
      <c r="Y42" s="27">
        <f ca="1">EndBalance</f>
        <v>1378795.3196288622</v>
      </c>
      <c r="AB42" s="27" t="e">
        <f ca="1">IF(Calculations!B42&lt;DesiredRetirementAge,I42,NA())</f>
        <v>#N/A</v>
      </c>
      <c r="AC42" s="27">
        <f ca="1">IF(Calculations!B42&gt;=(DesiredRetirementAge-1),I42,NA())</f>
        <v>1092332.4617849539</v>
      </c>
      <c r="AD42" s="27"/>
      <c r="AF42" s="27">
        <f t="shared" ca="1" si="0"/>
        <v>518747.87143107643</v>
      </c>
      <c r="AH42" s="27"/>
    </row>
    <row r="43" spans="2:34">
      <c r="B43">
        <f ca="1">Age</f>
        <v>68</v>
      </c>
      <c r="C43" s="27">
        <f ca="1">Salary</f>
        <v>0</v>
      </c>
      <c r="D43" s="27">
        <f ca="1">Balance</f>
        <v>1092332.4617849539</v>
      </c>
      <c r="E43" s="27">
        <f ca="1">Interest</f>
        <v>68270.778861559622</v>
      </c>
      <c r="F43" s="27">
        <f ca="1">YearlySavings</f>
        <v>0</v>
      </c>
      <c r="G43" s="27">
        <f ca="1">DesiredRetirementIncome</f>
        <v>85797.287840147255</v>
      </c>
      <c r="H43" s="27">
        <f ca="1">PensionIncome</f>
        <v>0</v>
      </c>
      <c r="I43" s="27">
        <f ca="1">EndBalance</f>
        <v>1074805.9528063664</v>
      </c>
      <c r="L43" s="27">
        <f ca="1">Balance_Under</f>
        <v>860047.44819778576</v>
      </c>
      <c r="M43" s="27">
        <f ca="1">Interest_Under</f>
        <v>45152.491030383753</v>
      </c>
      <c r="N43" s="27">
        <f ca="1">YearlySavings_Under</f>
        <v>0</v>
      </c>
      <c r="O43" s="27">
        <f ca="1">DesiredRetirementIncome</f>
        <v>85797.287840147255</v>
      </c>
      <c r="P43" s="27">
        <f ca="1">PensionIncome_Under</f>
        <v>0</v>
      </c>
      <c r="Q43" s="27">
        <f ca="1">EndBalance</f>
        <v>819402.65138802223</v>
      </c>
      <c r="T43" s="27">
        <f ca="1">Balance_Over</f>
        <v>1378795.3196288622</v>
      </c>
      <c r="U43" s="27">
        <f ca="1">Interest_Over</f>
        <v>99962.660673092498</v>
      </c>
      <c r="V43" s="27">
        <f ca="1">YearlySavings_Over</f>
        <v>0</v>
      </c>
      <c r="W43" s="27">
        <f ca="1">DesiredRetirementIncome</f>
        <v>85797.287840147255</v>
      </c>
      <c r="X43" s="27">
        <f ca="1">PensionIncome_Over</f>
        <v>0</v>
      </c>
      <c r="Y43" s="27">
        <f ca="1">EndBalance</f>
        <v>1392960.6924618075</v>
      </c>
      <c r="AB43" s="27" t="e">
        <f ca="1">IF(Calculations!B43&lt;DesiredRetirementAge,I43,NA())</f>
        <v>#N/A</v>
      </c>
      <c r="AC43" s="27">
        <f ca="1">IF(Calculations!B43&gt;=(DesiredRetirementAge-1),I43,NA())</f>
        <v>1074805.9528063664</v>
      </c>
      <c r="AD43" s="27"/>
      <c r="AF43" s="27">
        <f t="shared" ca="1" si="0"/>
        <v>573558.04107378528</v>
      </c>
      <c r="AH43" s="27"/>
    </row>
    <row r="44" spans="2:34">
      <c r="B44">
        <f ca="1">Age</f>
        <v>69</v>
      </c>
      <c r="C44" s="27">
        <f ca="1">Salary</f>
        <v>0</v>
      </c>
      <c r="D44" s="27">
        <f ca="1">Balance</f>
        <v>1074805.9528063664</v>
      </c>
      <c r="E44" s="27">
        <f ca="1">Interest</f>
        <v>67175.372050397898</v>
      </c>
      <c r="F44" s="27">
        <f ca="1">YearlySavings</f>
        <v>0</v>
      </c>
      <c r="G44" s="27">
        <f ca="1">DesiredRetirementIncome</f>
        <v>88371.206475351661</v>
      </c>
      <c r="H44" s="27">
        <f ca="1">PensionIncome</f>
        <v>0</v>
      </c>
      <c r="I44" s="27">
        <f ca="1">EndBalance</f>
        <v>1053610.1183814125</v>
      </c>
      <c r="L44" s="27">
        <f ca="1">Balance_Under</f>
        <v>819402.65138802223</v>
      </c>
      <c r="M44" s="27">
        <f ca="1">Interest_Under</f>
        <v>43018.639197871169</v>
      </c>
      <c r="N44" s="27">
        <f ca="1">YearlySavings_Under</f>
        <v>0</v>
      </c>
      <c r="O44" s="27">
        <f ca="1">DesiredRetirementIncome</f>
        <v>88371.206475351661</v>
      </c>
      <c r="P44" s="27">
        <f ca="1">PensionIncome_Under</f>
        <v>0</v>
      </c>
      <c r="Q44" s="27">
        <f ca="1">EndBalance</f>
        <v>774050.08411054173</v>
      </c>
      <c r="T44" s="27">
        <f ca="1">Balance_Over</f>
        <v>1392960.6924618075</v>
      </c>
      <c r="U44" s="27">
        <f ca="1">Interest_Over</f>
        <v>100989.65020348104</v>
      </c>
      <c r="V44" s="27">
        <f ca="1">YearlySavings_Over</f>
        <v>0</v>
      </c>
      <c r="W44" s="27">
        <f ca="1">DesiredRetirementIncome</f>
        <v>88371.206475351661</v>
      </c>
      <c r="X44" s="27">
        <f ca="1">PensionIncome_Over</f>
        <v>0</v>
      </c>
      <c r="Y44" s="27">
        <f ca="1">EndBalance</f>
        <v>1405579.1361899369</v>
      </c>
      <c r="AB44" s="27" t="e">
        <f ca="1">IF(Calculations!B44&lt;DesiredRetirementAge,I44,NA())</f>
        <v>#N/A</v>
      </c>
      <c r="AC44" s="27">
        <f ca="1">IF(Calculations!B44&gt;=(DesiredRetirementAge-1),I44,NA())</f>
        <v>1053610.1183814125</v>
      </c>
      <c r="AD44" s="27"/>
      <c r="AF44" s="27">
        <f ca="1">Y44-Q44</f>
        <v>631529.05207939516</v>
      </c>
      <c r="AH44" s="27"/>
    </row>
    <row r="45" spans="2:34">
      <c r="B45">
        <f ca="1">Age</f>
        <v>70</v>
      </c>
      <c r="C45" s="27">
        <f ca="1">Salary</f>
        <v>0</v>
      </c>
      <c r="D45" s="27">
        <f ca="1">Balance</f>
        <v>1053610.1183814125</v>
      </c>
      <c r="E45" s="27">
        <f ca="1">Interest</f>
        <v>65850.632398838279</v>
      </c>
      <c r="F45" s="27">
        <f ca="1">YearlySavings</f>
        <v>0</v>
      </c>
      <c r="G45" s="27">
        <f ca="1">DesiredRetirementIncome</f>
        <v>91022.342669612219</v>
      </c>
      <c r="H45" s="27">
        <f ca="1">PensionIncome</f>
        <v>0</v>
      </c>
      <c r="I45" s="27">
        <f ca="1">EndBalance</f>
        <v>1028438.4081106384</v>
      </c>
      <c r="L45" s="27">
        <f ca="1">Balance_Under</f>
        <v>774050.08411054173</v>
      </c>
      <c r="M45" s="27">
        <f ca="1">Interest_Under</f>
        <v>40637.629415803436</v>
      </c>
      <c r="N45" s="27">
        <f ca="1">YearlySavings_Under</f>
        <v>0</v>
      </c>
      <c r="O45" s="27">
        <f ca="1">DesiredRetirementIncome</f>
        <v>91022.342669612219</v>
      </c>
      <c r="P45" s="27">
        <f ca="1">PensionIncome_Under</f>
        <v>0</v>
      </c>
      <c r="Q45" s="27">
        <f ca="1">EndBalance</f>
        <v>723665.37085673294</v>
      </c>
      <c r="T45" s="27">
        <f ca="1">Balance_Over</f>
        <v>1405579.1361899369</v>
      </c>
      <c r="U45" s="27">
        <f ca="1">Interest_Over</f>
        <v>101904.48737377042</v>
      </c>
      <c r="V45" s="27">
        <f ca="1">YearlySavings_Over</f>
        <v>0</v>
      </c>
      <c r="W45" s="27">
        <f ca="1">DesiredRetirementIncome</f>
        <v>91022.342669612219</v>
      </c>
      <c r="X45" s="27">
        <f ca="1">PensionIncome_Over</f>
        <v>0</v>
      </c>
      <c r="Y45" s="27">
        <f ca="1">EndBalance</f>
        <v>1416461.2808940951</v>
      </c>
      <c r="AB45" s="27" t="e">
        <f ca="1">IF(Calculations!B45&lt;DesiredRetirementAge,I45,NA())</f>
        <v>#N/A</v>
      </c>
      <c r="AC45" s="27">
        <f ca="1">IF(Calculations!B45&gt;=(DesiredRetirementAge-1),I45,NA())</f>
        <v>1028438.4081106384</v>
      </c>
      <c r="AD45" s="27"/>
      <c r="AF45" s="27">
        <f t="shared" ca="1" si="0"/>
        <v>692795.91003736213</v>
      </c>
      <c r="AH45" s="27"/>
    </row>
    <row r="46" spans="2:34">
      <c r="B46">
        <f ca="1">Age</f>
        <v>71</v>
      </c>
      <c r="C46" s="27">
        <f ca="1">Salary</f>
        <v>0</v>
      </c>
      <c r="D46" s="27">
        <f ca="1">Balance</f>
        <v>1028438.4081106384</v>
      </c>
      <c r="E46" s="27">
        <f ca="1">Interest</f>
        <v>64277.400506914899</v>
      </c>
      <c r="F46" s="27">
        <f ca="1">YearlySavings</f>
        <v>0</v>
      </c>
      <c r="G46" s="27">
        <f ca="1">DesiredRetirementIncome</f>
        <v>93753.012949700598</v>
      </c>
      <c r="H46" s="27">
        <f ca="1">PensionIncome</f>
        <v>0</v>
      </c>
      <c r="I46" s="27">
        <f ca="1">EndBalance</f>
        <v>998962.79566785262</v>
      </c>
      <c r="L46" s="27">
        <f ca="1">Balance_Under</f>
        <v>723665.37085673294</v>
      </c>
      <c r="M46" s="27">
        <f ca="1">Interest_Under</f>
        <v>37992.431969978476</v>
      </c>
      <c r="N46" s="27">
        <f ca="1">YearlySavings_Under</f>
        <v>0</v>
      </c>
      <c r="O46" s="27">
        <f ca="1">DesiredRetirementIncome</f>
        <v>93753.012949700598</v>
      </c>
      <c r="P46" s="27">
        <f ca="1">PensionIncome_Under</f>
        <v>0</v>
      </c>
      <c r="Q46" s="27">
        <f ca="1">EndBalance</f>
        <v>667904.78987701086</v>
      </c>
      <c r="T46" s="27">
        <f ca="1">Balance_Over</f>
        <v>1416461.2808940951</v>
      </c>
      <c r="U46" s="27">
        <f ca="1">Interest_Over</f>
        <v>102693.44286482189</v>
      </c>
      <c r="V46" s="27">
        <f ca="1">YearlySavings_Over</f>
        <v>0</v>
      </c>
      <c r="W46" s="27">
        <f ca="1">DesiredRetirementIncome</f>
        <v>93753.012949700598</v>
      </c>
      <c r="X46" s="27">
        <f ca="1">PensionIncome_Over</f>
        <v>0</v>
      </c>
      <c r="Y46" s="27">
        <f ca="1">EndBalance</f>
        <v>1425401.7108092164</v>
      </c>
      <c r="AB46" s="27" t="e">
        <f ca="1">IF(Calculations!B46&lt;DesiredRetirementAge,I46,NA())</f>
        <v>#N/A</v>
      </c>
      <c r="AC46" s="27">
        <f ca="1">IF(Calculations!B46&gt;=(DesiredRetirementAge-1),I46,NA())</f>
        <v>998962.79566785262</v>
      </c>
      <c r="AD46" s="27"/>
      <c r="AF46" s="27">
        <f t="shared" ca="1" si="0"/>
        <v>757496.92093220551</v>
      </c>
      <c r="AH46" s="27"/>
    </row>
    <row r="47" spans="2:34">
      <c r="B47">
        <f ca="1">Age</f>
        <v>72</v>
      </c>
      <c r="C47" s="27">
        <f ca="1">Salary</f>
        <v>0</v>
      </c>
      <c r="D47" s="27">
        <f ca="1">Balance</f>
        <v>998962.79566785262</v>
      </c>
      <c r="E47" s="27">
        <f ca="1">Interest</f>
        <v>62435.174729240789</v>
      </c>
      <c r="F47" s="27">
        <f ca="1">YearlySavings</f>
        <v>0</v>
      </c>
      <c r="G47" s="27">
        <f ca="1">DesiredRetirementIncome</f>
        <v>96565.603338191591</v>
      </c>
      <c r="H47" s="27">
        <f ca="1">PensionIncome</f>
        <v>0</v>
      </c>
      <c r="I47" s="27">
        <f ca="1">EndBalance</f>
        <v>964832.3670589017</v>
      </c>
      <c r="L47" s="27">
        <f ca="1">Balance_Under</f>
        <v>667904.78987701086</v>
      </c>
      <c r="M47" s="27">
        <f ca="1">Interest_Under</f>
        <v>35065.001468543072</v>
      </c>
      <c r="N47" s="27">
        <f ca="1">YearlySavings_Under</f>
        <v>0</v>
      </c>
      <c r="O47" s="27">
        <f ca="1">DesiredRetirementIncome</f>
        <v>96565.603338191591</v>
      </c>
      <c r="P47" s="27">
        <f ca="1">PensionIncome_Under</f>
        <v>0</v>
      </c>
      <c r="Q47" s="27">
        <f ca="1">EndBalance</f>
        <v>606404.1880073623</v>
      </c>
      <c r="T47" s="27">
        <f ca="1">Balance_Over</f>
        <v>1425401.7108092164</v>
      </c>
      <c r="U47" s="27">
        <f ca="1">Interest_Over</f>
        <v>103341.62403366818</v>
      </c>
      <c r="V47" s="27">
        <f ca="1">YearlySavings_Over</f>
        <v>0</v>
      </c>
      <c r="W47" s="27">
        <f ca="1">DesiredRetirementIncome</f>
        <v>96565.603338191591</v>
      </c>
      <c r="X47" s="27">
        <f ca="1">PensionIncome_Over</f>
        <v>0</v>
      </c>
      <c r="Y47" s="27">
        <f ca="1">EndBalance</f>
        <v>1432177.7315046929</v>
      </c>
      <c r="AB47" s="27" t="e">
        <f ca="1">IF(Calculations!B47&lt;DesiredRetirementAge,I47,NA())</f>
        <v>#N/A</v>
      </c>
      <c r="AC47" s="27">
        <f ca="1">IF(Calculations!B47&gt;=(DesiredRetirementAge-1),I47,NA())</f>
        <v>964832.3670589017</v>
      </c>
      <c r="AD47" s="27"/>
      <c r="AF47" s="27">
        <f t="shared" ca="1" si="0"/>
        <v>825773.54349733063</v>
      </c>
      <c r="AH47" s="27"/>
    </row>
    <row r="48" spans="2:34">
      <c r="B48">
        <f ca="1">Age</f>
        <v>73</v>
      </c>
      <c r="C48" s="27">
        <f ca="1">Salary</f>
        <v>0</v>
      </c>
      <c r="D48" s="27">
        <f ca="1">Balance</f>
        <v>964832.3670589017</v>
      </c>
      <c r="E48" s="27">
        <f ca="1">Interest</f>
        <v>60302.022941181356</v>
      </c>
      <c r="F48" s="27">
        <f ca="1">YearlySavings</f>
        <v>0</v>
      </c>
      <c r="G48" s="27">
        <f ca="1">DesiredRetirementIncome</f>
        <v>99462.571438337356</v>
      </c>
      <c r="H48" s="27">
        <f ca="1">PensionIncome</f>
        <v>0</v>
      </c>
      <c r="I48" s="27">
        <f ca="1">EndBalance</f>
        <v>925671.81856174569</v>
      </c>
      <c r="L48" s="27">
        <f ca="1">Balance_Under</f>
        <v>606404.1880073623</v>
      </c>
      <c r="M48" s="27">
        <f ca="1">Interest_Under</f>
        <v>31836.219870386522</v>
      </c>
      <c r="N48" s="27">
        <f ca="1">YearlySavings_Under</f>
        <v>0</v>
      </c>
      <c r="O48" s="27">
        <f ca="1">DesiredRetirementIncome</f>
        <v>99462.571438337356</v>
      </c>
      <c r="P48" s="27">
        <f ca="1">PensionIncome_Under</f>
        <v>0</v>
      </c>
      <c r="Q48" s="27">
        <f ca="1">EndBalance</f>
        <v>538777.83643941151</v>
      </c>
      <c r="T48" s="27">
        <f ca="1">Balance_Over</f>
        <v>1432177.7315046929</v>
      </c>
      <c r="U48" s="27">
        <f ca="1">Interest_Over</f>
        <v>103832.88553409024</v>
      </c>
      <c r="V48" s="27">
        <f ca="1">YearlySavings_Over</f>
        <v>0</v>
      </c>
      <c r="W48" s="27">
        <f ca="1">DesiredRetirementIncome</f>
        <v>99462.571438337356</v>
      </c>
      <c r="X48" s="27">
        <f ca="1">PensionIncome_Over</f>
        <v>0</v>
      </c>
      <c r="Y48" s="27">
        <f ca="1">EndBalance</f>
        <v>1436548.0456004457</v>
      </c>
      <c r="AB48" s="27" t="e">
        <f ca="1">IF(Calculations!B48&lt;DesiredRetirementAge,I48,NA())</f>
        <v>#N/A</v>
      </c>
      <c r="AC48" s="27">
        <f ca="1">IF(Calculations!B48&gt;=(DesiredRetirementAge-1),I48,NA())</f>
        <v>925671.81856174569</v>
      </c>
      <c r="AD48" s="27"/>
      <c r="AF48" s="27">
        <f t="shared" ca="1" si="0"/>
        <v>897770.2091610342</v>
      </c>
      <c r="AH48" s="27"/>
    </row>
    <row r="49" spans="2:34">
      <c r="B49">
        <f ca="1">Age</f>
        <v>74</v>
      </c>
      <c r="C49" s="27">
        <f ca="1">Salary</f>
        <v>0</v>
      </c>
      <c r="D49" s="27">
        <f ca="1">Balance</f>
        <v>925671.81856174569</v>
      </c>
      <c r="E49" s="27">
        <f ca="1">Interest</f>
        <v>57854.488660109106</v>
      </c>
      <c r="F49" s="27">
        <f ca="1">YearlySavings</f>
        <v>0</v>
      </c>
      <c r="G49" s="27">
        <f ca="1">DesiredRetirementIncome</f>
        <v>102446.44858148745</v>
      </c>
      <c r="H49" s="27">
        <f ca="1">PensionIncome</f>
        <v>0</v>
      </c>
      <c r="I49" s="27">
        <f ca="1">EndBalance</f>
        <v>881079.8586403674</v>
      </c>
      <c r="L49" s="27">
        <f ca="1">Balance_Under</f>
        <v>538777.83643941151</v>
      </c>
      <c r="M49" s="27">
        <f ca="1">Interest_Under</f>
        <v>28285.836413069104</v>
      </c>
      <c r="N49" s="27">
        <f ca="1">YearlySavings_Under</f>
        <v>0</v>
      </c>
      <c r="O49" s="27">
        <f ca="1">DesiredRetirementIncome</f>
        <v>102446.44858148745</v>
      </c>
      <c r="P49" s="27">
        <f ca="1">PensionIncome_Under</f>
        <v>0</v>
      </c>
      <c r="Q49" s="27">
        <f ca="1">EndBalance</f>
        <v>464617.22427099309</v>
      </c>
      <c r="T49" s="27">
        <f ca="1">Balance_Over</f>
        <v>1436548.0456004457</v>
      </c>
      <c r="U49" s="27">
        <f ca="1">Interest_Over</f>
        <v>104149.7333060323</v>
      </c>
      <c r="V49" s="27">
        <f ca="1">YearlySavings_Over</f>
        <v>0</v>
      </c>
      <c r="W49" s="27">
        <f ca="1">DesiredRetirementIncome</f>
        <v>102446.44858148745</v>
      </c>
      <c r="X49" s="27">
        <f ca="1">PensionIncome_Over</f>
        <v>0</v>
      </c>
      <c r="Y49" s="27">
        <f ca="1">EndBalance</f>
        <v>1438251.3303249907</v>
      </c>
      <c r="AB49" s="27" t="e">
        <f ca="1">IF(Calculations!B49&lt;DesiredRetirementAge,I49,NA())</f>
        <v>#N/A</v>
      </c>
      <c r="AC49" s="27">
        <f ca="1">IF(Calculations!B49&gt;=(DesiredRetirementAge-1),I49,NA())</f>
        <v>881079.8586403674</v>
      </c>
      <c r="AD49" s="27"/>
      <c r="AF49" s="27">
        <f t="shared" ca="1" si="0"/>
        <v>973634.10605399753</v>
      </c>
      <c r="AH49" s="27"/>
    </row>
    <row r="50" spans="2:34">
      <c r="B50">
        <f ca="1">Age</f>
        <v>75</v>
      </c>
      <c r="C50" s="27">
        <f ca="1">Salary</f>
        <v>0</v>
      </c>
      <c r="D50" s="27">
        <f ca="1">Balance</f>
        <v>881079.8586403674</v>
      </c>
      <c r="E50" s="27">
        <f ca="1">Interest</f>
        <v>55067.491165022962</v>
      </c>
      <c r="F50" s="27">
        <f ca="1">YearlySavings</f>
        <v>0</v>
      </c>
      <c r="G50" s="27">
        <f ca="1">DesiredRetirementIncome</f>
        <v>105519.8420389321</v>
      </c>
      <c r="H50" s="27">
        <f ca="1">PensionIncome</f>
        <v>0</v>
      </c>
      <c r="I50" s="27">
        <f ca="1">EndBalance</f>
        <v>830627.50776645821</v>
      </c>
      <c r="L50" s="27">
        <f ca="1">Balance_Under</f>
        <v>464617.22427099309</v>
      </c>
      <c r="M50" s="27">
        <f ca="1">Interest_Under</f>
        <v>24392.404274227138</v>
      </c>
      <c r="N50" s="27">
        <f ca="1">YearlySavings_Under</f>
        <v>0</v>
      </c>
      <c r="O50" s="27">
        <f ca="1">DesiredRetirementIncome</f>
        <v>105519.8420389321</v>
      </c>
      <c r="P50" s="27">
        <f ca="1">PensionIncome_Under</f>
        <v>0</v>
      </c>
      <c r="Q50" s="27">
        <f ca="1">EndBalance</f>
        <v>383489.78650628816</v>
      </c>
      <c r="T50" s="27">
        <f ca="1">Balance_Over</f>
        <v>1438251.3303249907</v>
      </c>
      <c r="U50" s="27">
        <f ca="1">Interest_Over</f>
        <v>104273.22144856182</v>
      </c>
      <c r="V50" s="27">
        <f ca="1">YearlySavings_Over</f>
        <v>0</v>
      </c>
      <c r="W50" s="27">
        <f ca="1">DesiredRetirementIncome</f>
        <v>105519.8420389321</v>
      </c>
      <c r="X50" s="27">
        <f ca="1">PensionIncome_Over</f>
        <v>0</v>
      </c>
      <c r="Y50" s="27">
        <f ca="1">EndBalance</f>
        <v>1437004.7097346205</v>
      </c>
      <c r="AB50" s="27" t="e">
        <f ca="1">IF(Calculations!B50&lt;DesiredRetirementAge,I50,NA())</f>
        <v>#N/A</v>
      </c>
      <c r="AC50" s="27">
        <f ca="1">IF(Calculations!B50&gt;=(DesiredRetirementAge-1),I50,NA())</f>
        <v>830627.50776645821</v>
      </c>
      <c r="AD50" s="27"/>
      <c r="AF50" s="27">
        <f t="shared" ca="1" si="0"/>
        <v>1053514.9232283323</v>
      </c>
      <c r="AH50" s="27"/>
    </row>
    <row r="51" spans="2:34">
      <c r="B51">
        <f ca="1">Age</f>
        <v>76</v>
      </c>
      <c r="C51" s="27">
        <f ca="1">Salary</f>
        <v>0</v>
      </c>
      <c r="D51" s="27">
        <f ca="1">Balance</f>
        <v>830627.50776645821</v>
      </c>
      <c r="E51" s="27">
        <f ca="1">Interest</f>
        <v>51914.219235403638</v>
      </c>
      <c r="F51" s="27">
        <f ca="1">YearlySavings</f>
        <v>0</v>
      </c>
      <c r="G51" s="27">
        <f ca="1">DesiredRetirementIncome</f>
        <v>108685.43730010005</v>
      </c>
      <c r="H51" s="27">
        <f ca="1">PensionIncome</f>
        <v>0</v>
      </c>
      <c r="I51" s="27">
        <f ca="1">EndBalance</f>
        <v>773856.28970176191</v>
      </c>
      <c r="L51" s="27">
        <f ca="1">Balance_Under</f>
        <v>383489.78650628816</v>
      </c>
      <c r="M51" s="27">
        <f ca="1">Interest_Under</f>
        <v>20133.213791580129</v>
      </c>
      <c r="N51" s="27">
        <f ca="1">YearlySavings_Under</f>
        <v>0</v>
      </c>
      <c r="O51" s="27">
        <f ca="1">DesiredRetirementIncome</f>
        <v>108685.43730010005</v>
      </c>
      <c r="P51" s="27">
        <f ca="1">PensionIncome_Under</f>
        <v>0</v>
      </c>
      <c r="Q51" s="27">
        <f ca="1">EndBalance</f>
        <v>294937.56299776823</v>
      </c>
      <c r="T51" s="27">
        <f ca="1">Balance_Over</f>
        <v>1437004.7097346205</v>
      </c>
      <c r="U51" s="27">
        <f ca="1">Interest_Over</f>
        <v>104182.84145575998</v>
      </c>
      <c r="V51" s="27">
        <f ca="1">YearlySavings_Over</f>
        <v>0</v>
      </c>
      <c r="W51" s="27">
        <f ca="1">DesiredRetirementIncome</f>
        <v>108685.43730010005</v>
      </c>
      <c r="X51" s="27">
        <f ca="1">PensionIncome_Over</f>
        <v>0</v>
      </c>
      <c r="Y51" s="27">
        <f ca="1">EndBalance</f>
        <v>1432502.1138902805</v>
      </c>
      <c r="AB51" s="27" t="e">
        <f ca="1">IF(Calculations!B51&lt;DesiredRetirementAge,I51,NA())</f>
        <v>#N/A</v>
      </c>
      <c r="AC51" s="27">
        <f ca="1">IF(Calculations!B51&gt;=(DesiredRetirementAge-1),I51,NA())</f>
        <v>773856.28970176191</v>
      </c>
      <c r="AD51" s="27"/>
      <c r="AF51" s="27">
        <f t="shared" ca="1" si="0"/>
        <v>1137564.5508925123</v>
      </c>
      <c r="AH51" s="27"/>
    </row>
    <row r="52" spans="2:34">
      <c r="B52">
        <f ca="1">Age</f>
        <v>77</v>
      </c>
      <c r="C52" s="27">
        <f ca="1">Salary</f>
        <v>0</v>
      </c>
      <c r="D52" s="27">
        <f ca="1">Balance</f>
        <v>773856.28970176191</v>
      </c>
      <c r="E52" s="27">
        <f ca="1">Interest</f>
        <v>48366.018106360119</v>
      </c>
      <c r="F52" s="27">
        <f ca="1">YearlySavings</f>
        <v>0</v>
      </c>
      <c r="G52" s="27">
        <f ca="1">DesiredRetirementIncome</f>
        <v>111946.00041910303</v>
      </c>
      <c r="H52" s="27">
        <f ca="1">PensionIncome</f>
        <v>0</v>
      </c>
      <c r="I52" s="27">
        <f ca="1">EndBalance</f>
        <v>710276.30738901894</v>
      </c>
      <c r="L52" s="27">
        <f ca="1">Balance_Under</f>
        <v>294937.56299776823</v>
      </c>
      <c r="M52" s="27">
        <f ca="1">Interest_Under</f>
        <v>15484.222057382831</v>
      </c>
      <c r="N52" s="27">
        <f ca="1">YearlySavings_Under</f>
        <v>0</v>
      </c>
      <c r="O52" s="27">
        <f ca="1">DesiredRetirementIncome</f>
        <v>111946.00041910303</v>
      </c>
      <c r="P52" s="27">
        <f ca="1">PensionIncome_Under</f>
        <v>0</v>
      </c>
      <c r="Q52" s="27">
        <f ca="1">EndBalance</f>
        <v>198475.78463604802</v>
      </c>
      <c r="T52" s="27">
        <f ca="1">Balance_Over</f>
        <v>1432502.1138902805</v>
      </c>
      <c r="U52" s="27">
        <f ca="1">Interest_Over</f>
        <v>103856.40325704533</v>
      </c>
      <c r="V52" s="27">
        <f ca="1">YearlySavings_Over</f>
        <v>0</v>
      </c>
      <c r="W52" s="27">
        <f ca="1">DesiredRetirementIncome</f>
        <v>111946.00041910303</v>
      </c>
      <c r="X52" s="27">
        <f ca="1">PensionIncome_Over</f>
        <v>0</v>
      </c>
      <c r="Y52" s="27">
        <f ca="1">EndBalance</f>
        <v>1424412.5167282228</v>
      </c>
      <c r="AB52" s="27" t="e">
        <f ca="1">IF(Calculations!B52&lt;DesiredRetirementAge,I52,NA())</f>
        <v>#N/A</v>
      </c>
      <c r="AC52" s="27">
        <f ca="1">IF(Calculations!B52&gt;=(DesiredRetirementAge-1),I52,NA())</f>
        <v>710276.30738901894</v>
      </c>
      <c r="AD52" s="27"/>
      <c r="AF52" s="27">
        <f t="shared" ca="1" si="0"/>
        <v>1225936.7320921747</v>
      </c>
      <c r="AH52" s="27"/>
    </row>
    <row r="53" spans="2:34">
      <c r="B53">
        <f ca="1">Age</f>
        <v>78</v>
      </c>
      <c r="C53" s="27">
        <f ca="1">Salary</f>
        <v>0</v>
      </c>
      <c r="D53" s="27">
        <f ca="1">Balance</f>
        <v>710276.30738901894</v>
      </c>
      <c r="E53" s="27">
        <f ca="1">Interest</f>
        <v>44392.269211813684</v>
      </c>
      <c r="F53" s="27">
        <f ca="1">YearlySavings</f>
        <v>0</v>
      </c>
      <c r="G53" s="27">
        <f ca="1">DesiredRetirementIncome</f>
        <v>115304.38043167612</v>
      </c>
      <c r="H53" s="27">
        <f ca="1">PensionIncome</f>
        <v>0</v>
      </c>
      <c r="I53" s="27">
        <f ca="1">EndBalance</f>
        <v>639364.19616915646</v>
      </c>
      <c r="L53" s="27">
        <f ca="1">Balance_Under</f>
        <v>198475.78463604802</v>
      </c>
      <c r="M53" s="27">
        <f ca="1">Interest_Under</f>
        <v>10419.978693392521</v>
      </c>
      <c r="N53" s="27">
        <f ca="1">YearlySavings_Under</f>
        <v>0</v>
      </c>
      <c r="O53" s="27">
        <f ca="1">DesiredRetirementIncome</f>
        <v>115304.38043167612</v>
      </c>
      <c r="P53" s="27">
        <f ca="1">PensionIncome_Under</f>
        <v>0</v>
      </c>
      <c r="Q53" s="27">
        <f ca="1">EndBalance</f>
        <v>93591.38289776443</v>
      </c>
      <c r="T53" s="27">
        <f ca="1">Balance_Over</f>
        <v>1424412.5167282228</v>
      </c>
      <c r="U53" s="27">
        <f ca="1">Interest_Over</f>
        <v>103269.90746279615</v>
      </c>
      <c r="V53" s="27">
        <f ca="1">YearlySavings_Over</f>
        <v>0</v>
      </c>
      <c r="W53" s="27">
        <f ca="1">DesiredRetirementIncome</f>
        <v>115304.38043167612</v>
      </c>
      <c r="X53" s="27">
        <f ca="1">PensionIncome_Over</f>
        <v>0</v>
      </c>
      <c r="Y53" s="27">
        <f ca="1">EndBalance</f>
        <v>1412378.043759343</v>
      </c>
      <c r="AB53" s="27" t="e">
        <f ca="1">IF(Calculations!B53&lt;DesiredRetirementAge,I53,NA())</f>
        <v>#N/A</v>
      </c>
      <c r="AC53" s="27">
        <f ca="1">IF(Calculations!B53&gt;=(DesiredRetirementAge-1),I53,NA())</f>
        <v>639364.19616915646</v>
      </c>
      <c r="AD53" s="27"/>
      <c r="AF53" s="27">
        <f t="shared" ca="1" si="0"/>
        <v>1318786.6608615785</v>
      </c>
      <c r="AH53" s="27"/>
    </row>
    <row r="54" spans="2:34">
      <c r="B54">
        <f ca="1">Age</f>
        <v>79</v>
      </c>
      <c r="C54" s="27">
        <f ca="1">Salary</f>
        <v>0</v>
      </c>
      <c r="D54" s="27">
        <f ca="1">Balance</f>
        <v>639364.19616915646</v>
      </c>
      <c r="E54" s="27">
        <f ca="1">Interest</f>
        <v>39960.262260572279</v>
      </c>
      <c r="F54" s="27">
        <f ca="1">YearlySavings</f>
        <v>0</v>
      </c>
      <c r="G54" s="27">
        <f ca="1">DesiredRetirementIncome</f>
        <v>118763.51184462642</v>
      </c>
      <c r="H54" s="27">
        <f ca="1">PensionIncome</f>
        <v>0</v>
      </c>
      <c r="I54" s="27">
        <f ca="1">EndBalance</f>
        <v>560560.94658510236</v>
      </c>
      <c r="L54" s="27">
        <f ca="1">Balance_Under</f>
        <v>93591.38289776443</v>
      </c>
      <c r="M54" s="27">
        <f ca="1">Interest_Under</f>
        <v>4913.5476021326322</v>
      </c>
      <c r="N54" s="27">
        <f ca="1">YearlySavings_Under</f>
        <v>0</v>
      </c>
      <c r="O54" s="27">
        <f ca="1">DesiredRetirementIncome</f>
        <v>118763.51184462642</v>
      </c>
      <c r="P54" s="27">
        <f ca="1">PensionIncome_Under</f>
        <v>0</v>
      </c>
      <c r="Q54" s="27">
        <f ca="1">EndBalance</f>
        <v>-20258.581344729362</v>
      </c>
      <c r="T54" s="27">
        <f ca="1">Balance_Over</f>
        <v>1412378.043759343</v>
      </c>
      <c r="U54" s="27">
        <f ca="1">Interest_Over</f>
        <v>102397.40817255236</v>
      </c>
      <c r="V54" s="27">
        <f ca="1">YearlySavings_Over</f>
        <v>0</v>
      </c>
      <c r="W54" s="27">
        <f ca="1">DesiredRetirementIncome</f>
        <v>118763.51184462642</v>
      </c>
      <c r="X54" s="27">
        <f ca="1">PensionIncome_Over</f>
        <v>0</v>
      </c>
      <c r="Y54" s="27">
        <f ca="1">EndBalance</f>
        <v>1396011.9400872688</v>
      </c>
      <c r="AB54" s="27" t="e">
        <f ca="1">IF(Calculations!B54&lt;DesiredRetirementAge,I54,NA())</f>
        <v>#N/A</v>
      </c>
      <c r="AC54" s="27">
        <f ca="1">IF(Calculations!B54&gt;=(DesiredRetirementAge-1),I54,NA())</f>
        <v>560560.94658510236</v>
      </c>
      <c r="AD54" s="27"/>
      <c r="AF54" s="27">
        <f t="shared" ca="1" si="0"/>
        <v>1416270.5214319981</v>
      </c>
      <c r="AH54" s="27"/>
    </row>
    <row r="55" spans="2:34">
      <c r="B55">
        <f ca="1">Age</f>
        <v>80</v>
      </c>
      <c r="C55" s="27">
        <f ca="1">Salary</f>
        <v>0</v>
      </c>
      <c r="D55" s="27">
        <f ca="1">Balance</f>
        <v>560560.94658510236</v>
      </c>
      <c r="E55" s="27">
        <f ca="1">Interest</f>
        <v>35035.059161568897</v>
      </c>
      <c r="F55" s="27">
        <f ca="1">YearlySavings</f>
        <v>0</v>
      </c>
      <c r="G55" s="27">
        <f ca="1">DesiredRetirementIncome</f>
        <v>122326.4171999652</v>
      </c>
      <c r="H55" s="27">
        <f ca="1">PensionIncome</f>
        <v>0</v>
      </c>
      <c r="I55" s="27">
        <f ca="1">EndBalance</f>
        <v>473269.58854670601</v>
      </c>
      <c r="L55" s="27">
        <f ca="1">Balance_Under</f>
        <v>-20258.581344729362</v>
      </c>
      <c r="M55" s="27">
        <f ca="1">Interest_Under</f>
        <v>-1063.5755205982914</v>
      </c>
      <c r="N55" s="27">
        <f ca="1">YearlySavings_Under</f>
        <v>0</v>
      </c>
      <c r="O55" s="27">
        <f ca="1">DesiredRetirementIncome</f>
        <v>122326.4171999652</v>
      </c>
      <c r="P55" s="27">
        <f ca="1">PensionIncome_Under</f>
        <v>0</v>
      </c>
      <c r="Q55" s="27">
        <f ca="1">EndBalance</f>
        <v>-143648.57406529287</v>
      </c>
      <c r="T55" s="27">
        <f ca="1">Balance_Over</f>
        <v>1396011.9400872688</v>
      </c>
      <c r="U55" s="27">
        <f ca="1">Interest_Over</f>
        <v>101210.86565632698</v>
      </c>
      <c r="V55" s="27">
        <f ca="1">YearlySavings_Over</f>
        <v>0</v>
      </c>
      <c r="W55" s="27">
        <f ca="1">DesiredRetirementIncome</f>
        <v>122326.4171999652</v>
      </c>
      <c r="X55" s="27">
        <f ca="1">PensionIncome_Over</f>
        <v>0</v>
      </c>
      <c r="Y55" s="27">
        <f ca="1">EndBalance</f>
        <v>1374896.3885436307</v>
      </c>
      <c r="AB55" s="27" t="e">
        <f ca="1">IF(Calculations!B55&lt;DesiredRetirementAge,I55,NA())</f>
        <v>#N/A</v>
      </c>
      <c r="AC55" s="27">
        <f ca="1">IF(Calculations!B55&gt;=(DesiredRetirementAge-1),I55,NA())</f>
        <v>473269.58854670601</v>
      </c>
      <c r="AD55" s="27"/>
      <c r="AF55" s="27">
        <f t="shared" ca="1" si="0"/>
        <v>1518544.9626089237</v>
      </c>
      <c r="AH55" s="27"/>
    </row>
    <row r="56" spans="2:34">
      <c r="B56">
        <f ca="1">Age</f>
        <v>81</v>
      </c>
      <c r="C56" s="27">
        <f ca="1">Salary</f>
        <v>0</v>
      </c>
      <c r="D56" s="27">
        <f ca="1">Balance</f>
        <v>473269.58854670601</v>
      </c>
      <c r="E56" s="27">
        <f ca="1">Interest</f>
        <v>29579.349284169126</v>
      </c>
      <c r="F56" s="27">
        <f ca="1">YearlySavings</f>
        <v>0</v>
      </c>
      <c r="G56" s="27">
        <f ca="1">DesiredRetirementIncome</f>
        <v>125996.20971596417</v>
      </c>
      <c r="H56" s="27">
        <f ca="1">PensionIncome</f>
        <v>0</v>
      </c>
      <c r="I56" s="27">
        <f ca="1">EndBalance</f>
        <v>376852.72811491101</v>
      </c>
      <c r="L56" s="27">
        <f ca="1">Balance_Under</f>
        <v>-143648.57406529287</v>
      </c>
      <c r="M56" s="27">
        <f ca="1">Interest_Under</f>
        <v>-7541.550138427875</v>
      </c>
      <c r="N56" s="27">
        <f ca="1">YearlySavings_Under</f>
        <v>0</v>
      </c>
      <c r="O56" s="27">
        <f ca="1">DesiredRetirementIncome</f>
        <v>125996.20971596417</v>
      </c>
      <c r="P56" s="27">
        <f ca="1">PensionIncome_Under</f>
        <v>0</v>
      </c>
      <c r="Q56" s="27">
        <f ca="1">EndBalance</f>
        <v>-277186.33391968493</v>
      </c>
      <c r="T56" s="27">
        <f ca="1">Balance_Over</f>
        <v>1374896.3885436307</v>
      </c>
      <c r="U56" s="27">
        <f ca="1">Interest_Over</f>
        <v>99679.98816941322</v>
      </c>
      <c r="V56" s="27">
        <f ca="1">YearlySavings_Over</f>
        <v>0</v>
      </c>
      <c r="W56" s="27">
        <f ca="1">DesiredRetirementIncome</f>
        <v>125996.20971596417</v>
      </c>
      <c r="X56" s="27">
        <f ca="1">PensionIncome_Over</f>
        <v>0</v>
      </c>
      <c r="Y56" s="27">
        <f ca="1">EndBalance</f>
        <v>1348580.1669970797</v>
      </c>
      <c r="AB56" s="27" t="e">
        <f ca="1">IF(Calculations!B56&lt;DesiredRetirementAge,I56,NA())</f>
        <v>#N/A</v>
      </c>
      <c r="AC56" s="27">
        <f ca="1">IF(Calculations!B56&gt;=(DesiredRetirementAge-1),I56,NA())</f>
        <v>376852.72811491101</v>
      </c>
      <c r="AD56" s="27"/>
      <c r="AF56" s="27">
        <f t="shared" ca="1" si="0"/>
        <v>1625766.5009167646</v>
      </c>
      <c r="AH56" s="27"/>
    </row>
    <row r="57" spans="2:34">
      <c r="B57">
        <f ca="1">Age</f>
        <v>82</v>
      </c>
      <c r="C57" s="27">
        <f ca="1">Salary</f>
        <v>0</v>
      </c>
      <c r="D57" s="27">
        <f ca="1">Balance</f>
        <v>376852.72811491101</v>
      </c>
      <c r="E57" s="27">
        <f ca="1">Interest</f>
        <v>23553.295507181938</v>
      </c>
      <c r="F57" s="27">
        <f ca="1">YearlySavings</f>
        <v>0</v>
      </c>
      <c r="G57" s="27">
        <f ca="1">DesiredRetirementIncome</f>
        <v>129776.09600744309</v>
      </c>
      <c r="H57" s="27">
        <f ca="1">PensionIncome</f>
        <v>0</v>
      </c>
      <c r="I57" s="27">
        <f ca="1">EndBalance</f>
        <v>270629.92761464987</v>
      </c>
      <c r="L57" s="27">
        <f ca="1">Balance_Under</f>
        <v>-277186.33391968493</v>
      </c>
      <c r="M57" s="27">
        <f ca="1">Interest_Under</f>
        <v>-14552.282530783457</v>
      </c>
      <c r="N57" s="27">
        <f ca="1">YearlySavings_Under</f>
        <v>0</v>
      </c>
      <c r="O57" s="27">
        <f ca="1">DesiredRetirementIncome</f>
        <v>129776.09600744309</v>
      </c>
      <c r="P57" s="27">
        <f ca="1">PensionIncome_Under</f>
        <v>0</v>
      </c>
      <c r="Q57" s="27">
        <f ca="1">EndBalance</f>
        <v>-421514.71245791146</v>
      </c>
      <c r="T57" s="27">
        <f ca="1">Balance_Over</f>
        <v>1348580.1669970797</v>
      </c>
      <c r="U57" s="27">
        <f ca="1">Interest_Over</f>
        <v>97772.062107288279</v>
      </c>
      <c r="V57" s="27">
        <f ca="1">YearlySavings_Over</f>
        <v>0</v>
      </c>
      <c r="W57" s="27">
        <f ca="1">DesiredRetirementIncome</f>
        <v>129776.09600744309</v>
      </c>
      <c r="X57" s="27">
        <f ca="1">PensionIncome_Over</f>
        <v>0</v>
      </c>
      <c r="Y57" s="27">
        <f ca="1">EndBalance</f>
        <v>1316576.133096925</v>
      </c>
      <c r="AB57" s="27" t="e">
        <f ca="1">IF(Calculations!B57&lt;DesiredRetirementAge,I57,NA())</f>
        <v>#N/A</v>
      </c>
      <c r="AC57" s="27">
        <f ca="1">IF(Calculations!B57&gt;=(DesiredRetirementAge-1),I57,NA())</f>
        <v>270629.92761464987</v>
      </c>
      <c r="AD57" s="27"/>
      <c r="AF57" s="27">
        <f t="shared" ca="1" si="0"/>
        <v>1738090.8455548366</v>
      </c>
    </row>
    <row r="58" spans="2:34">
      <c r="B58">
        <f ca="1">Age</f>
        <v>83</v>
      </c>
      <c r="C58" s="27">
        <f ca="1">Salary</f>
        <v>0</v>
      </c>
      <c r="D58" s="27">
        <f ca="1">Balance</f>
        <v>270629.92761464987</v>
      </c>
      <c r="E58" s="27">
        <f ca="1">Interest</f>
        <v>16914.370475915617</v>
      </c>
      <c r="F58" s="27">
        <f ca="1">YearlySavings</f>
        <v>0</v>
      </c>
      <c r="G58" s="27">
        <f ca="1">DesiredRetirementIncome</f>
        <v>133669.37888766639</v>
      </c>
      <c r="H58" s="27">
        <f ca="1">PensionIncome</f>
        <v>0</v>
      </c>
      <c r="I58" s="27">
        <f ca="1">EndBalance</f>
        <v>153874.91920289909</v>
      </c>
      <c r="L58" s="27">
        <f ca="1">Balance_Under</f>
        <v>-421514.71245791146</v>
      </c>
      <c r="M58" s="27">
        <f ca="1">Interest_Under</f>
        <v>-22129.522404040352</v>
      </c>
      <c r="N58" s="27">
        <f ca="1">YearlySavings_Under</f>
        <v>0</v>
      </c>
      <c r="O58" s="27">
        <f ca="1">DesiredRetirementIncome</f>
        <v>133669.37888766639</v>
      </c>
      <c r="P58" s="27">
        <f ca="1">PensionIncome_Under</f>
        <v>0</v>
      </c>
      <c r="Q58" s="27">
        <f ca="1">EndBalance</f>
        <v>-577313.61374961818</v>
      </c>
      <c r="T58" s="27">
        <f ca="1">Balance_Over</f>
        <v>1316576.133096925</v>
      </c>
      <c r="U58" s="27">
        <f ca="1">Interest_Over</f>
        <v>95451.76964952705</v>
      </c>
      <c r="V58" s="27">
        <f ca="1">YearlySavings_Over</f>
        <v>0</v>
      </c>
      <c r="W58" s="27">
        <f ca="1">DesiredRetirementIncome</f>
        <v>133669.37888766639</v>
      </c>
      <c r="X58" s="27">
        <f ca="1">PensionIncome_Over</f>
        <v>0</v>
      </c>
      <c r="Y58" s="27">
        <f ca="1">EndBalance</f>
        <v>1278358.5238587856</v>
      </c>
      <c r="AB58" s="27" t="e">
        <f ca="1">IF(Calculations!B58&lt;DesiredRetirementAge,I58,NA())</f>
        <v>#N/A</v>
      </c>
      <c r="AC58" s="27">
        <f ca="1">IF(Calculations!B58&gt;=(DesiredRetirementAge-1),I58,NA())</f>
        <v>153874.91920289909</v>
      </c>
      <c r="AD58" s="27"/>
      <c r="AF58" s="27">
        <f t="shared" ca="1" si="0"/>
        <v>1855672.1376084038</v>
      </c>
    </row>
    <row r="59" spans="2:34">
      <c r="B59">
        <f ca="1">Age</f>
        <v>84</v>
      </c>
      <c r="C59" s="27">
        <f ca="1">Salary</f>
        <v>0</v>
      </c>
      <c r="D59" s="27">
        <f ca="1">Balance</f>
        <v>153874.91920289909</v>
      </c>
      <c r="E59" s="27">
        <f ca="1">Interest</f>
        <v>9617.1824501811934</v>
      </c>
      <c r="F59" s="27">
        <f ca="1">YearlySavings</f>
        <v>0</v>
      </c>
      <c r="G59" s="27">
        <f ca="1">DesiredRetirementIncome</f>
        <v>137679.46025429637</v>
      </c>
      <c r="H59" s="27">
        <f ca="1">PensionIncome</f>
        <v>0</v>
      </c>
      <c r="I59" s="27">
        <f ca="1">EndBalance</f>
        <v>25812.641398783919</v>
      </c>
      <c r="L59" s="27">
        <f ca="1">Balance_Under</f>
        <v>-577313.61374961818</v>
      </c>
      <c r="M59" s="27">
        <f ca="1">Interest_Under</f>
        <v>-30308.964721854954</v>
      </c>
      <c r="N59" s="27">
        <f ca="1">YearlySavings_Under</f>
        <v>0</v>
      </c>
      <c r="O59" s="27">
        <f ca="1">DesiredRetirementIncome</f>
        <v>137679.46025429637</v>
      </c>
      <c r="P59" s="27">
        <f ca="1">PensionIncome_Under</f>
        <v>0</v>
      </c>
      <c r="Q59" s="27">
        <f ca="1">EndBalance</f>
        <v>-745302.03872576961</v>
      </c>
      <c r="T59" s="27">
        <f ca="1">Balance_Over</f>
        <v>1278358.5238587856</v>
      </c>
      <c r="U59" s="27">
        <f ca="1">Interest_Over</f>
        <v>92680.992979761955</v>
      </c>
      <c r="V59" s="27">
        <f ca="1">YearlySavings_Over</f>
        <v>0</v>
      </c>
      <c r="W59" s="27">
        <f ca="1">DesiredRetirementIncome</f>
        <v>137679.46025429637</v>
      </c>
      <c r="X59" s="27">
        <f ca="1">PensionIncome_Over</f>
        <v>0</v>
      </c>
      <c r="Y59" s="27">
        <f ca="1">EndBalance</f>
        <v>1233360.0565842511</v>
      </c>
      <c r="AB59" s="27" t="e">
        <f ca="1">IF(Calculations!B59&lt;DesiredRetirementAge,I59,NA())</f>
        <v>#N/A</v>
      </c>
      <c r="AC59" s="27">
        <f ca="1">IF(Calculations!B59&gt;=(DesiredRetirementAge-1),I59,NA())</f>
        <v>25812.641398783919</v>
      </c>
      <c r="AD59" s="27"/>
      <c r="AF59" s="27">
        <f t="shared" ca="1" si="0"/>
        <v>1978662.0953100207</v>
      </c>
    </row>
    <row r="60" spans="2:34">
      <c r="B60" t="e">
        <f ca="1">Age</f>
        <v>#N/A</v>
      </c>
      <c r="C60" s="27" t="e">
        <f ca="1">Salary</f>
        <v>#N/A</v>
      </c>
      <c r="D60" s="27" t="e">
        <f ca="1">Balance</f>
        <v>#N/A</v>
      </c>
      <c r="E60" s="27" t="e">
        <f ca="1">Interest</f>
        <v>#N/A</v>
      </c>
      <c r="F60" s="27" t="e">
        <f ca="1">YearlySavings</f>
        <v>#N/A</v>
      </c>
      <c r="G60" s="27" t="e">
        <f ca="1">DesiredRetirementIncome</f>
        <v>#N/A</v>
      </c>
      <c r="H60" s="27" t="e">
        <f ca="1">PensionIncome</f>
        <v>#N/A</v>
      </c>
      <c r="I60" s="27" t="e">
        <f ca="1">EndBalance</f>
        <v>#N/A</v>
      </c>
      <c r="L60" s="27" t="e">
        <f ca="1">Balance_Under</f>
        <v>#N/A</v>
      </c>
      <c r="M60" s="27" t="e">
        <f ca="1">Interest_Under</f>
        <v>#N/A</v>
      </c>
      <c r="N60" s="27" t="e">
        <f ca="1">YearlySavings_Under</f>
        <v>#N/A</v>
      </c>
      <c r="O60" s="27" t="e">
        <f ca="1">DesiredRetirementIncome</f>
        <v>#N/A</v>
      </c>
      <c r="P60" s="27" t="e">
        <f ca="1">PensionIncome_Under</f>
        <v>#N/A</v>
      </c>
      <c r="Q60" s="27" t="e">
        <f ca="1">EndBalance</f>
        <v>#N/A</v>
      </c>
      <c r="T60" s="27" t="e">
        <f ca="1">Balance_Over</f>
        <v>#N/A</v>
      </c>
      <c r="U60" s="27" t="e">
        <f ca="1">Interest_Over</f>
        <v>#N/A</v>
      </c>
      <c r="V60" s="27" t="e">
        <f ca="1">YearlySavings_Over</f>
        <v>#N/A</v>
      </c>
      <c r="W60" s="27" t="e">
        <f ca="1">DesiredRetirementIncome</f>
        <v>#N/A</v>
      </c>
      <c r="X60" s="27" t="e">
        <f ca="1">PensionIncome_Over</f>
        <v>#N/A</v>
      </c>
      <c r="Y60" s="27" t="e">
        <f ca="1">EndBalance</f>
        <v>#N/A</v>
      </c>
      <c r="AB60" s="27" t="e">
        <f ca="1">IF(Calculations!B60&lt;DesiredRetirementAge,I60,NA())</f>
        <v>#N/A</v>
      </c>
      <c r="AC60" s="27" t="e">
        <f ca="1">IF(Calculations!B60&gt;=(DesiredRetirementAge-1),I60,NA())</f>
        <v>#N/A</v>
      </c>
      <c r="AD60" s="27"/>
      <c r="AF60" s="27" t="e">
        <f t="shared" ca="1" si="0"/>
        <v>#N/A</v>
      </c>
    </row>
    <row r="61" spans="2:34">
      <c r="B61" t="e">
        <f ca="1">Age</f>
        <v>#N/A</v>
      </c>
      <c r="C61" s="27" t="e">
        <f ca="1">Salary</f>
        <v>#N/A</v>
      </c>
      <c r="D61" s="27" t="e">
        <f ca="1">Balance</f>
        <v>#N/A</v>
      </c>
      <c r="E61" s="27" t="e">
        <f ca="1">Interest</f>
        <v>#N/A</v>
      </c>
      <c r="F61" s="27" t="e">
        <f ca="1">YearlySavings</f>
        <v>#N/A</v>
      </c>
      <c r="G61" s="27" t="e">
        <f ca="1">DesiredRetirementIncome</f>
        <v>#N/A</v>
      </c>
      <c r="H61" s="27" t="e">
        <f ca="1">PensionIncome</f>
        <v>#N/A</v>
      </c>
      <c r="I61" s="27" t="e">
        <f ca="1">EndBalance</f>
        <v>#N/A</v>
      </c>
      <c r="L61" s="27" t="e">
        <f ca="1">Balance_Under</f>
        <v>#N/A</v>
      </c>
      <c r="M61" s="27" t="e">
        <f ca="1">Interest_Under</f>
        <v>#N/A</v>
      </c>
      <c r="N61" s="27" t="e">
        <f ca="1">YearlySavings_Under</f>
        <v>#N/A</v>
      </c>
      <c r="O61" s="27" t="e">
        <f ca="1">DesiredRetirementIncome</f>
        <v>#N/A</v>
      </c>
      <c r="P61" s="27" t="e">
        <f ca="1">PensionIncome_Under</f>
        <v>#N/A</v>
      </c>
      <c r="Q61" s="27" t="e">
        <f ca="1">EndBalance</f>
        <v>#N/A</v>
      </c>
      <c r="T61" s="27" t="e">
        <f ca="1">Balance_Over</f>
        <v>#N/A</v>
      </c>
      <c r="U61" s="27" t="e">
        <f ca="1">Interest_Over</f>
        <v>#N/A</v>
      </c>
      <c r="V61" s="27" t="e">
        <f ca="1">YearlySavings_Over</f>
        <v>#N/A</v>
      </c>
      <c r="W61" s="27" t="e">
        <f ca="1">DesiredRetirementIncome</f>
        <v>#N/A</v>
      </c>
      <c r="X61" s="27" t="e">
        <f ca="1">PensionIncome_Over</f>
        <v>#N/A</v>
      </c>
      <c r="Y61" s="27" t="e">
        <f ca="1">EndBalance</f>
        <v>#N/A</v>
      </c>
      <c r="AB61" s="27" t="e">
        <f ca="1">IF(Calculations!B61&lt;DesiredRetirementAge,I61,NA())</f>
        <v>#N/A</v>
      </c>
      <c r="AC61" s="27" t="e">
        <f ca="1">IF(Calculations!B61&gt;=(DesiredRetirementAge-1),I61,NA())</f>
        <v>#N/A</v>
      </c>
      <c r="AD61" s="27"/>
      <c r="AF61" s="27" t="e">
        <f t="shared" ca="1" si="0"/>
        <v>#N/A</v>
      </c>
    </row>
    <row r="62" spans="2:34">
      <c r="B62" t="e">
        <f ca="1">Age</f>
        <v>#N/A</v>
      </c>
      <c r="C62" s="27" t="e">
        <f ca="1">Salary</f>
        <v>#N/A</v>
      </c>
      <c r="D62" s="27" t="e">
        <f ca="1">Balance</f>
        <v>#N/A</v>
      </c>
      <c r="E62" s="27" t="e">
        <f ca="1">Interest</f>
        <v>#N/A</v>
      </c>
      <c r="F62" s="27" t="e">
        <f ca="1">YearlySavings</f>
        <v>#N/A</v>
      </c>
      <c r="G62" s="27" t="e">
        <f ca="1">DesiredRetirementIncome</f>
        <v>#N/A</v>
      </c>
      <c r="H62" s="27" t="e">
        <f ca="1">PensionIncome</f>
        <v>#N/A</v>
      </c>
      <c r="I62" s="27" t="e">
        <f ca="1">EndBalance</f>
        <v>#N/A</v>
      </c>
      <c r="L62" s="27" t="e">
        <f ca="1">Balance_Under</f>
        <v>#N/A</v>
      </c>
      <c r="M62" s="27" t="e">
        <f ca="1">Interest_Under</f>
        <v>#N/A</v>
      </c>
      <c r="N62" s="27" t="e">
        <f ca="1">YearlySavings_Under</f>
        <v>#N/A</v>
      </c>
      <c r="O62" s="27" t="e">
        <f ca="1">DesiredRetirementIncome</f>
        <v>#N/A</v>
      </c>
      <c r="P62" s="27" t="e">
        <f ca="1">PensionIncome_Under</f>
        <v>#N/A</v>
      </c>
      <c r="Q62" s="27" t="e">
        <f ca="1">EndBalance</f>
        <v>#N/A</v>
      </c>
      <c r="T62" s="27" t="e">
        <f ca="1">Balance_Over</f>
        <v>#N/A</v>
      </c>
      <c r="U62" s="27" t="e">
        <f ca="1">Interest_Over</f>
        <v>#N/A</v>
      </c>
      <c r="V62" s="27" t="e">
        <f ca="1">YearlySavings_Over</f>
        <v>#N/A</v>
      </c>
      <c r="W62" s="27" t="e">
        <f ca="1">DesiredRetirementIncome</f>
        <v>#N/A</v>
      </c>
      <c r="X62" s="27" t="e">
        <f ca="1">PensionIncome_Over</f>
        <v>#N/A</v>
      </c>
      <c r="Y62" s="27" t="e">
        <f ca="1">EndBalance</f>
        <v>#N/A</v>
      </c>
      <c r="AB62" s="27" t="e">
        <f ca="1">IF(Calculations!B62&lt;DesiredRetirementAge,I62,NA())</f>
        <v>#N/A</v>
      </c>
      <c r="AC62" s="27" t="e">
        <f ca="1">IF(Calculations!B62&gt;=(DesiredRetirementAge-1),I62,NA())</f>
        <v>#N/A</v>
      </c>
      <c r="AD62" s="27"/>
      <c r="AF62" s="27" t="e">
        <f t="shared" ca="1" si="0"/>
        <v>#N/A</v>
      </c>
    </row>
    <row r="63" spans="2:34">
      <c r="B63" t="e">
        <f ca="1">Age</f>
        <v>#N/A</v>
      </c>
      <c r="C63" s="27" t="e">
        <f ca="1">Salary</f>
        <v>#N/A</v>
      </c>
      <c r="D63" s="27" t="e">
        <f ca="1">Balance</f>
        <v>#N/A</v>
      </c>
      <c r="E63" s="27" t="e">
        <f ca="1">Interest</f>
        <v>#N/A</v>
      </c>
      <c r="F63" s="27" t="e">
        <f ca="1">YearlySavings</f>
        <v>#N/A</v>
      </c>
      <c r="G63" s="27" t="e">
        <f ca="1">DesiredRetirementIncome</f>
        <v>#N/A</v>
      </c>
      <c r="H63" s="27" t="e">
        <f ca="1">PensionIncome</f>
        <v>#N/A</v>
      </c>
      <c r="I63" s="27" t="e">
        <f ca="1">EndBalance</f>
        <v>#N/A</v>
      </c>
      <c r="L63" s="27" t="e">
        <f ca="1">Balance_Under</f>
        <v>#N/A</v>
      </c>
      <c r="M63" s="27" t="e">
        <f ca="1">Interest_Under</f>
        <v>#N/A</v>
      </c>
      <c r="N63" s="27" t="e">
        <f ca="1">YearlySavings_Under</f>
        <v>#N/A</v>
      </c>
      <c r="O63" s="27" t="e">
        <f ca="1">DesiredRetirementIncome</f>
        <v>#N/A</v>
      </c>
      <c r="P63" s="27" t="e">
        <f ca="1">PensionIncome_Under</f>
        <v>#N/A</v>
      </c>
      <c r="Q63" s="27" t="e">
        <f ca="1">EndBalance</f>
        <v>#N/A</v>
      </c>
      <c r="T63" s="27" t="e">
        <f ca="1">Balance_Over</f>
        <v>#N/A</v>
      </c>
      <c r="U63" s="27" t="e">
        <f ca="1">Interest_Over</f>
        <v>#N/A</v>
      </c>
      <c r="V63" s="27" t="e">
        <f ca="1">YearlySavings_Over</f>
        <v>#N/A</v>
      </c>
      <c r="W63" s="27" t="e">
        <f ca="1">DesiredRetirementIncome</f>
        <v>#N/A</v>
      </c>
      <c r="X63" s="27" t="e">
        <f ca="1">PensionIncome_Over</f>
        <v>#N/A</v>
      </c>
      <c r="Y63" s="27" t="e">
        <f ca="1">EndBalance</f>
        <v>#N/A</v>
      </c>
      <c r="AB63" s="27" t="e">
        <f ca="1">IF(Calculations!B63&lt;DesiredRetirementAge,I63,NA())</f>
        <v>#N/A</v>
      </c>
      <c r="AC63" s="27" t="e">
        <f ca="1">IF(Calculations!B63&gt;=(DesiredRetirementAge-1),I63,NA())</f>
        <v>#N/A</v>
      </c>
      <c r="AD63" s="27"/>
      <c r="AF63" s="27" t="e">
        <f t="shared" ca="1" si="0"/>
        <v>#N/A</v>
      </c>
    </row>
    <row r="64" spans="2:34">
      <c r="B64" t="e">
        <f ca="1">Age</f>
        <v>#N/A</v>
      </c>
      <c r="C64" s="27" t="e">
        <f ca="1">Salary</f>
        <v>#N/A</v>
      </c>
      <c r="D64" s="27" t="e">
        <f ca="1">Balance</f>
        <v>#N/A</v>
      </c>
      <c r="E64" s="27" t="e">
        <f ca="1">Interest</f>
        <v>#N/A</v>
      </c>
      <c r="F64" s="27" t="e">
        <f ca="1">YearlySavings</f>
        <v>#N/A</v>
      </c>
      <c r="G64" s="27" t="e">
        <f ca="1">DesiredRetirementIncome</f>
        <v>#N/A</v>
      </c>
      <c r="H64" s="27" t="e">
        <f ca="1">PensionIncome</f>
        <v>#N/A</v>
      </c>
      <c r="I64" s="27" t="e">
        <f ca="1">EndBalance</f>
        <v>#N/A</v>
      </c>
      <c r="L64" s="27" t="e">
        <f ca="1">Balance_Under</f>
        <v>#N/A</v>
      </c>
      <c r="M64" s="27" t="e">
        <f ca="1">Interest_Under</f>
        <v>#N/A</v>
      </c>
      <c r="N64" s="27" t="e">
        <f ca="1">YearlySavings_Under</f>
        <v>#N/A</v>
      </c>
      <c r="O64" s="27" t="e">
        <f ca="1">DesiredRetirementIncome</f>
        <v>#N/A</v>
      </c>
      <c r="P64" s="27" t="e">
        <f ca="1">PensionIncome_Under</f>
        <v>#N/A</v>
      </c>
      <c r="Q64" s="27" t="e">
        <f ca="1">EndBalance</f>
        <v>#N/A</v>
      </c>
      <c r="T64" s="27" t="e">
        <f ca="1">Balance_Over</f>
        <v>#N/A</v>
      </c>
      <c r="U64" s="27" t="e">
        <f ca="1">Interest_Over</f>
        <v>#N/A</v>
      </c>
      <c r="V64" s="27" t="e">
        <f ca="1">YearlySavings_Over</f>
        <v>#N/A</v>
      </c>
      <c r="W64" s="27" t="e">
        <f ca="1">DesiredRetirementIncome</f>
        <v>#N/A</v>
      </c>
      <c r="X64" s="27" t="e">
        <f ca="1">PensionIncome_Over</f>
        <v>#N/A</v>
      </c>
      <c r="Y64" s="27" t="e">
        <f ca="1">EndBalance</f>
        <v>#N/A</v>
      </c>
      <c r="AB64" s="27" t="e">
        <f ca="1">IF(Calculations!B64&lt;DesiredRetirementAge,I64,NA())</f>
        <v>#N/A</v>
      </c>
      <c r="AC64" s="27" t="e">
        <f ca="1">IF(Calculations!B64&gt;=(DesiredRetirementAge-1),I64,NA())</f>
        <v>#N/A</v>
      </c>
      <c r="AD64" s="27"/>
      <c r="AF64" s="27" t="e">
        <f t="shared" ca="1" si="0"/>
        <v>#N/A</v>
      </c>
    </row>
    <row r="65" spans="2:32">
      <c r="B65" t="e">
        <f ca="1">Age</f>
        <v>#N/A</v>
      </c>
      <c r="C65" s="27" t="e">
        <f ca="1">Salary</f>
        <v>#N/A</v>
      </c>
      <c r="D65" s="27" t="e">
        <f ca="1">Balance</f>
        <v>#N/A</v>
      </c>
      <c r="E65" s="27" t="e">
        <f ca="1">Interest</f>
        <v>#N/A</v>
      </c>
      <c r="F65" s="27" t="e">
        <f ca="1">YearlySavings</f>
        <v>#N/A</v>
      </c>
      <c r="G65" s="27" t="e">
        <f ca="1">DesiredRetirementIncome</f>
        <v>#N/A</v>
      </c>
      <c r="H65" s="27" t="e">
        <f ca="1">PensionIncome</f>
        <v>#N/A</v>
      </c>
      <c r="I65" s="27" t="e">
        <f ca="1">EndBalance</f>
        <v>#N/A</v>
      </c>
      <c r="L65" s="27" t="e">
        <f ca="1">Balance_Under</f>
        <v>#N/A</v>
      </c>
      <c r="M65" s="27" t="e">
        <f ca="1">Interest_Under</f>
        <v>#N/A</v>
      </c>
      <c r="N65" s="27" t="e">
        <f ca="1">YearlySavings_Under</f>
        <v>#N/A</v>
      </c>
      <c r="O65" s="27" t="e">
        <f ca="1">DesiredRetirementIncome</f>
        <v>#N/A</v>
      </c>
      <c r="P65" s="27" t="e">
        <f ca="1">PensionIncome_Under</f>
        <v>#N/A</v>
      </c>
      <c r="Q65" s="27" t="e">
        <f ca="1">EndBalance</f>
        <v>#N/A</v>
      </c>
      <c r="T65" s="27" t="e">
        <f ca="1">Balance_Over</f>
        <v>#N/A</v>
      </c>
      <c r="U65" s="27" t="e">
        <f ca="1">Interest_Over</f>
        <v>#N/A</v>
      </c>
      <c r="V65" s="27" t="e">
        <f ca="1">YearlySavings_Over</f>
        <v>#N/A</v>
      </c>
      <c r="W65" s="27" t="e">
        <f ca="1">DesiredRetirementIncome</f>
        <v>#N/A</v>
      </c>
      <c r="X65" s="27" t="e">
        <f ca="1">PensionIncome_Over</f>
        <v>#N/A</v>
      </c>
      <c r="Y65" s="27" t="e">
        <f ca="1">EndBalance</f>
        <v>#N/A</v>
      </c>
      <c r="AB65" s="27" t="e">
        <f ca="1">IF(Calculations!B65&lt;DesiredRetirementAge,I65,NA())</f>
        <v>#N/A</v>
      </c>
      <c r="AC65" s="27" t="e">
        <f ca="1">IF(Calculations!B65&gt;=(DesiredRetirementAge-1),I65,NA())</f>
        <v>#N/A</v>
      </c>
      <c r="AD65" s="27"/>
      <c r="AF65" s="27" t="e">
        <f t="shared" ca="1" si="0"/>
        <v>#N/A</v>
      </c>
    </row>
    <row r="66" spans="2:32">
      <c r="B66" t="e">
        <f ca="1">Age</f>
        <v>#N/A</v>
      </c>
      <c r="C66" s="27" t="e">
        <f ca="1">Salary</f>
        <v>#N/A</v>
      </c>
      <c r="D66" s="27" t="e">
        <f ca="1">Balance</f>
        <v>#N/A</v>
      </c>
      <c r="E66" s="27" t="e">
        <f ca="1">Interest</f>
        <v>#N/A</v>
      </c>
      <c r="F66" s="27" t="e">
        <f ca="1">YearlySavings</f>
        <v>#N/A</v>
      </c>
      <c r="G66" s="27" t="e">
        <f ca="1">DesiredRetirementIncome</f>
        <v>#N/A</v>
      </c>
      <c r="H66" s="27" t="e">
        <f ca="1">PensionIncome</f>
        <v>#N/A</v>
      </c>
      <c r="I66" s="27" t="e">
        <f ca="1">EndBalance</f>
        <v>#N/A</v>
      </c>
      <c r="L66" s="27" t="e">
        <f ca="1">Balance_Under</f>
        <v>#N/A</v>
      </c>
      <c r="M66" s="27" t="e">
        <f ca="1">Interest_Under</f>
        <v>#N/A</v>
      </c>
      <c r="N66" s="27" t="e">
        <f ca="1">YearlySavings_Under</f>
        <v>#N/A</v>
      </c>
      <c r="O66" s="27" t="e">
        <f ca="1">DesiredRetirementIncome</f>
        <v>#N/A</v>
      </c>
      <c r="P66" s="27" t="e">
        <f ca="1">PensionIncome_Under</f>
        <v>#N/A</v>
      </c>
      <c r="Q66" s="27" t="e">
        <f ca="1">EndBalance</f>
        <v>#N/A</v>
      </c>
      <c r="T66" s="27" t="e">
        <f ca="1">Balance_Over</f>
        <v>#N/A</v>
      </c>
      <c r="U66" s="27" t="e">
        <f ca="1">Interest_Over</f>
        <v>#N/A</v>
      </c>
      <c r="V66" s="27" t="e">
        <f ca="1">YearlySavings_Over</f>
        <v>#N/A</v>
      </c>
      <c r="W66" s="27" t="e">
        <f ca="1">DesiredRetirementIncome</f>
        <v>#N/A</v>
      </c>
      <c r="X66" s="27" t="e">
        <f ca="1">PensionIncome_Over</f>
        <v>#N/A</v>
      </c>
      <c r="Y66" s="27" t="e">
        <f ca="1">EndBalance</f>
        <v>#N/A</v>
      </c>
      <c r="AB66" s="27" t="e">
        <f ca="1">IF(Calculations!B66&lt;DesiredRetirementAge,I66,NA())</f>
        <v>#N/A</v>
      </c>
      <c r="AC66" s="27" t="e">
        <f ca="1">IF(Calculations!B66&gt;=(DesiredRetirementAge-1),I66,NA())</f>
        <v>#N/A</v>
      </c>
      <c r="AD66" s="27"/>
      <c r="AF66" s="27" t="e">
        <f t="shared" ca="1" si="0"/>
        <v>#N/A</v>
      </c>
    </row>
    <row r="67" spans="2:32">
      <c r="B67" t="e">
        <f ca="1">Age</f>
        <v>#N/A</v>
      </c>
      <c r="C67" s="27" t="e">
        <f ca="1">Salary</f>
        <v>#N/A</v>
      </c>
      <c r="D67" s="27" t="e">
        <f ca="1">Balance</f>
        <v>#N/A</v>
      </c>
      <c r="E67" s="27" t="e">
        <f ca="1">Interest</f>
        <v>#N/A</v>
      </c>
      <c r="F67" s="27" t="e">
        <f ca="1">YearlySavings</f>
        <v>#N/A</v>
      </c>
      <c r="G67" s="27" t="e">
        <f ca="1">DesiredRetirementIncome</f>
        <v>#N/A</v>
      </c>
      <c r="H67" s="27" t="e">
        <f ca="1">PensionIncome</f>
        <v>#N/A</v>
      </c>
      <c r="I67" s="27" t="e">
        <f ca="1">EndBalance</f>
        <v>#N/A</v>
      </c>
      <c r="L67" s="27" t="e">
        <f ca="1">Balance_Under</f>
        <v>#N/A</v>
      </c>
      <c r="M67" s="27" t="e">
        <f ca="1">Interest_Under</f>
        <v>#N/A</v>
      </c>
      <c r="N67" s="27" t="e">
        <f ca="1">YearlySavings_Under</f>
        <v>#N/A</v>
      </c>
      <c r="O67" s="27" t="e">
        <f ca="1">DesiredRetirementIncome</f>
        <v>#N/A</v>
      </c>
      <c r="P67" s="27" t="e">
        <f ca="1">PensionIncome_Under</f>
        <v>#N/A</v>
      </c>
      <c r="Q67" s="27" t="e">
        <f ca="1">EndBalance</f>
        <v>#N/A</v>
      </c>
      <c r="T67" s="27" t="e">
        <f ca="1">Balance_Over</f>
        <v>#N/A</v>
      </c>
      <c r="U67" s="27" t="e">
        <f ca="1">Interest_Over</f>
        <v>#N/A</v>
      </c>
      <c r="V67" s="27" t="e">
        <f ca="1">YearlySavings_Over</f>
        <v>#N/A</v>
      </c>
      <c r="W67" s="27" t="e">
        <f ca="1">DesiredRetirementIncome</f>
        <v>#N/A</v>
      </c>
      <c r="X67" s="27" t="e">
        <f ca="1">PensionIncome_Over</f>
        <v>#N/A</v>
      </c>
      <c r="Y67" s="27" t="e">
        <f ca="1">EndBalance</f>
        <v>#N/A</v>
      </c>
      <c r="AB67" s="27" t="e">
        <f ca="1">IF(Calculations!B67&lt;DesiredRetirementAge,I67,NA())</f>
        <v>#N/A</v>
      </c>
      <c r="AC67" s="27" t="e">
        <f ca="1">IF(Calculations!B67&gt;=(DesiredRetirementAge-1),I67,NA())</f>
        <v>#N/A</v>
      </c>
      <c r="AD67" s="27"/>
      <c r="AF67" s="27" t="e">
        <f t="shared" ca="1" si="0"/>
        <v>#N/A</v>
      </c>
    </row>
    <row r="68" spans="2:32">
      <c r="B68" t="e">
        <f ca="1">Age</f>
        <v>#N/A</v>
      </c>
      <c r="C68" s="27" t="e">
        <f ca="1">Salary</f>
        <v>#N/A</v>
      </c>
      <c r="D68" s="27" t="e">
        <f ca="1">Balance</f>
        <v>#N/A</v>
      </c>
      <c r="E68" s="27" t="e">
        <f ca="1">Interest</f>
        <v>#N/A</v>
      </c>
      <c r="F68" s="27" t="e">
        <f ca="1">YearlySavings</f>
        <v>#N/A</v>
      </c>
      <c r="G68" s="27" t="e">
        <f ca="1">DesiredRetirementIncome</f>
        <v>#N/A</v>
      </c>
      <c r="H68" s="27" t="e">
        <f ca="1">PensionIncome</f>
        <v>#N/A</v>
      </c>
      <c r="I68" s="27" t="e">
        <f ca="1">EndBalance</f>
        <v>#N/A</v>
      </c>
      <c r="L68" s="27" t="e">
        <f ca="1">Balance_Under</f>
        <v>#N/A</v>
      </c>
      <c r="M68" s="27" t="e">
        <f ca="1">Interest_Under</f>
        <v>#N/A</v>
      </c>
      <c r="N68" s="27" t="e">
        <f ca="1">YearlySavings_Under</f>
        <v>#N/A</v>
      </c>
      <c r="O68" s="27" t="e">
        <f ca="1">DesiredRetirementIncome</f>
        <v>#N/A</v>
      </c>
      <c r="P68" s="27" t="e">
        <f ca="1">PensionIncome_Under</f>
        <v>#N/A</v>
      </c>
      <c r="Q68" s="27" t="e">
        <f ca="1">EndBalance</f>
        <v>#N/A</v>
      </c>
      <c r="T68" s="27" t="e">
        <f ca="1">Balance_Over</f>
        <v>#N/A</v>
      </c>
      <c r="U68" s="27" t="e">
        <f ca="1">Interest_Over</f>
        <v>#N/A</v>
      </c>
      <c r="V68" s="27" t="e">
        <f ca="1">YearlySavings_Over</f>
        <v>#N/A</v>
      </c>
      <c r="W68" s="27" t="e">
        <f ca="1">DesiredRetirementIncome</f>
        <v>#N/A</v>
      </c>
      <c r="X68" s="27" t="e">
        <f ca="1">PensionIncome_Over</f>
        <v>#N/A</v>
      </c>
      <c r="Y68" s="27" t="e">
        <f ca="1">EndBalance</f>
        <v>#N/A</v>
      </c>
      <c r="AB68" s="27" t="e">
        <f ca="1">IF(Calculations!B68&lt;DesiredRetirementAge,I68,NA())</f>
        <v>#N/A</v>
      </c>
      <c r="AC68" s="27" t="e">
        <f ca="1">IF(Calculations!B68&gt;=(DesiredRetirementAge-1),I68,NA())</f>
        <v>#N/A</v>
      </c>
      <c r="AD68" s="27"/>
      <c r="AF68" s="27" t="e">
        <f t="shared" ca="1" si="0"/>
        <v>#N/A</v>
      </c>
    </row>
    <row r="69" spans="2:32">
      <c r="B69" t="e">
        <f ca="1">Age</f>
        <v>#N/A</v>
      </c>
      <c r="C69" s="27" t="e">
        <f ca="1">Salary</f>
        <v>#N/A</v>
      </c>
      <c r="D69" s="27" t="e">
        <f ca="1">Balance</f>
        <v>#N/A</v>
      </c>
      <c r="E69" s="27" t="e">
        <f ca="1">Interest</f>
        <v>#N/A</v>
      </c>
      <c r="F69" s="27" t="e">
        <f ca="1">YearlySavings</f>
        <v>#N/A</v>
      </c>
      <c r="G69" s="27" t="e">
        <f ca="1">DesiredRetirementIncome</f>
        <v>#N/A</v>
      </c>
      <c r="H69" s="27" t="e">
        <f ca="1">PensionIncome</f>
        <v>#N/A</v>
      </c>
      <c r="I69" s="27" t="e">
        <f ca="1">EndBalance</f>
        <v>#N/A</v>
      </c>
      <c r="L69" s="27" t="e">
        <f ca="1">Balance_Under</f>
        <v>#N/A</v>
      </c>
      <c r="M69" s="27" t="e">
        <f ca="1">Interest_Under</f>
        <v>#N/A</v>
      </c>
      <c r="N69" s="27" t="e">
        <f ca="1">YearlySavings_Under</f>
        <v>#N/A</v>
      </c>
      <c r="O69" s="27" t="e">
        <f ca="1">DesiredRetirementIncome</f>
        <v>#N/A</v>
      </c>
      <c r="P69" s="27" t="e">
        <f ca="1">PensionIncome_Under</f>
        <v>#N/A</v>
      </c>
      <c r="Q69" s="27" t="e">
        <f ca="1">EndBalance</f>
        <v>#N/A</v>
      </c>
      <c r="T69" s="27" t="e">
        <f ca="1">Balance_Over</f>
        <v>#N/A</v>
      </c>
      <c r="U69" s="27" t="e">
        <f ca="1">Interest_Over</f>
        <v>#N/A</v>
      </c>
      <c r="V69" s="27" t="e">
        <f ca="1">YearlySavings_Over</f>
        <v>#N/A</v>
      </c>
      <c r="W69" s="27" t="e">
        <f ca="1">DesiredRetirementIncome</f>
        <v>#N/A</v>
      </c>
      <c r="X69" s="27" t="e">
        <f ca="1">PensionIncome_Over</f>
        <v>#N/A</v>
      </c>
      <c r="Y69" s="27" t="e">
        <f ca="1">EndBalance</f>
        <v>#N/A</v>
      </c>
      <c r="AB69" s="27" t="e">
        <f ca="1">IF(Calculations!B69&lt;DesiredRetirementAge,I69,NA())</f>
        <v>#N/A</v>
      </c>
      <c r="AC69" s="27" t="e">
        <f ca="1">IF(Calculations!B69&gt;=(DesiredRetirementAge-1),I69,NA())</f>
        <v>#N/A</v>
      </c>
      <c r="AD69" s="27"/>
      <c r="AF69" s="27" t="e">
        <f t="shared" ca="1" si="0"/>
        <v>#N/A</v>
      </c>
    </row>
    <row r="70" spans="2:32">
      <c r="B70" t="e">
        <f ca="1">Age</f>
        <v>#N/A</v>
      </c>
      <c r="C70" s="27" t="e">
        <f ca="1">Salary</f>
        <v>#N/A</v>
      </c>
      <c r="D70" s="27" t="e">
        <f ca="1">Balance</f>
        <v>#N/A</v>
      </c>
      <c r="E70" s="27" t="e">
        <f ca="1">Interest</f>
        <v>#N/A</v>
      </c>
      <c r="F70" s="27" t="e">
        <f ca="1">YearlySavings</f>
        <v>#N/A</v>
      </c>
      <c r="G70" s="27" t="e">
        <f ca="1">DesiredRetirementIncome</f>
        <v>#N/A</v>
      </c>
      <c r="H70" s="27" t="e">
        <f ca="1">PensionIncome</f>
        <v>#N/A</v>
      </c>
      <c r="I70" s="27" t="e">
        <f ca="1">EndBalance</f>
        <v>#N/A</v>
      </c>
      <c r="L70" s="27" t="e">
        <f ca="1">Balance_Under</f>
        <v>#N/A</v>
      </c>
      <c r="M70" s="27" t="e">
        <f ca="1">Interest_Under</f>
        <v>#N/A</v>
      </c>
      <c r="N70" s="27" t="e">
        <f ca="1">YearlySavings_Under</f>
        <v>#N/A</v>
      </c>
      <c r="O70" s="27" t="e">
        <f ca="1">DesiredRetirementIncome</f>
        <v>#N/A</v>
      </c>
      <c r="P70" s="27" t="e">
        <f ca="1">PensionIncome_Under</f>
        <v>#N/A</v>
      </c>
      <c r="Q70" s="27" t="e">
        <f ca="1">EndBalance</f>
        <v>#N/A</v>
      </c>
      <c r="T70" s="27" t="e">
        <f ca="1">Balance_Over</f>
        <v>#N/A</v>
      </c>
      <c r="U70" s="27" t="e">
        <f ca="1">Interest_Over</f>
        <v>#N/A</v>
      </c>
      <c r="V70" s="27" t="e">
        <f ca="1">YearlySavings_Over</f>
        <v>#N/A</v>
      </c>
      <c r="W70" s="27" t="e">
        <f ca="1">DesiredRetirementIncome</f>
        <v>#N/A</v>
      </c>
      <c r="X70" s="27" t="e">
        <f ca="1">PensionIncome_Over</f>
        <v>#N/A</v>
      </c>
      <c r="Y70" s="27" t="e">
        <f ca="1">EndBalance</f>
        <v>#N/A</v>
      </c>
      <c r="AB70" s="27" t="e">
        <f ca="1">IF(Calculations!B70&lt;DesiredRetirementAge,I70,NA())</f>
        <v>#N/A</v>
      </c>
      <c r="AC70" s="27" t="e">
        <f ca="1">IF(Calculations!B70&gt;=(DesiredRetirementAge-1),I70,NA())</f>
        <v>#N/A</v>
      </c>
      <c r="AD70" s="27"/>
      <c r="AF70" s="27" t="e">
        <f t="shared" ca="1" si="0"/>
        <v>#N/A</v>
      </c>
    </row>
    <row r="71" spans="2:32">
      <c r="B71" t="e">
        <f ca="1">Age</f>
        <v>#N/A</v>
      </c>
      <c r="C71" s="27" t="e">
        <f ca="1">Salary</f>
        <v>#N/A</v>
      </c>
      <c r="D71" s="27" t="e">
        <f ca="1">Balance</f>
        <v>#N/A</v>
      </c>
      <c r="E71" s="27" t="e">
        <f ca="1">Interest</f>
        <v>#N/A</v>
      </c>
      <c r="F71" s="27" t="e">
        <f ca="1">YearlySavings</f>
        <v>#N/A</v>
      </c>
      <c r="G71" s="27" t="e">
        <f ca="1">DesiredRetirementIncome</f>
        <v>#N/A</v>
      </c>
      <c r="H71" s="27" t="e">
        <f ca="1">PensionIncome</f>
        <v>#N/A</v>
      </c>
      <c r="I71" s="27" t="e">
        <f ca="1">EndBalance</f>
        <v>#N/A</v>
      </c>
      <c r="L71" s="27" t="e">
        <f ca="1">Balance_Under</f>
        <v>#N/A</v>
      </c>
      <c r="M71" s="27" t="e">
        <f ca="1">Interest_Under</f>
        <v>#N/A</v>
      </c>
      <c r="N71" s="27" t="e">
        <f ca="1">YearlySavings_Under</f>
        <v>#N/A</v>
      </c>
      <c r="O71" s="27" t="e">
        <f ca="1">DesiredRetirementIncome</f>
        <v>#N/A</v>
      </c>
      <c r="P71" s="27" t="e">
        <f ca="1">PensionIncome_Under</f>
        <v>#N/A</v>
      </c>
      <c r="Q71" s="27" t="e">
        <f ca="1">EndBalance</f>
        <v>#N/A</v>
      </c>
      <c r="T71" s="27" t="e">
        <f ca="1">Balance_Over</f>
        <v>#N/A</v>
      </c>
      <c r="U71" s="27" t="e">
        <f ca="1">Interest_Over</f>
        <v>#N/A</v>
      </c>
      <c r="V71" s="27" t="e">
        <f ca="1">YearlySavings_Over</f>
        <v>#N/A</v>
      </c>
      <c r="W71" s="27" t="e">
        <f ca="1">DesiredRetirementIncome</f>
        <v>#N/A</v>
      </c>
      <c r="X71" s="27" t="e">
        <f ca="1">PensionIncome_Over</f>
        <v>#N/A</v>
      </c>
      <c r="Y71" s="27" t="e">
        <f ca="1">EndBalance</f>
        <v>#N/A</v>
      </c>
      <c r="AB71" s="27" t="e">
        <f ca="1">IF(Calculations!B71&lt;DesiredRetirementAge,I71,NA())</f>
        <v>#N/A</v>
      </c>
      <c r="AC71" s="27" t="e">
        <f ca="1">IF(Calculations!B71&gt;=(DesiredRetirementAge-1),I71,NA())</f>
        <v>#N/A</v>
      </c>
      <c r="AD71" s="27"/>
      <c r="AF71" s="27" t="e">
        <f t="shared" ca="1" si="0"/>
        <v>#N/A</v>
      </c>
    </row>
    <row r="72" spans="2:32">
      <c r="B72" t="e">
        <f ca="1">Age</f>
        <v>#N/A</v>
      </c>
      <c r="C72" s="27" t="e">
        <f ca="1">Salary</f>
        <v>#N/A</v>
      </c>
      <c r="D72" s="27" t="e">
        <f ca="1">Balance</f>
        <v>#N/A</v>
      </c>
      <c r="E72" s="27" t="e">
        <f ca="1">Interest</f>
        <v>#N/A</v>
      </c>
      <c r="F72" s="27" t="e">
        <f ca="1">YearlySavings</f>
        <v>#N/A</v>
      </c>
      <c r="G72" s="27" t="e">
        <f ca="1">DesiredRetirementIncome</f>
        <v>#N/A</v>
      </c>
      <c r="H72" s="27" t="e">
        <f ca="1">PensionIncome</f>
        <v>#N/A</v>
      </c>
      <c r="I72" s="27" t="e">
        <f ca="1">EndBalance</f>
        <v>#N/A</v>
      </c>
      <c r="L72" s="27" t="e">
        <f ca="1">Balance_Under</f>
        <v>#N/A</v>
      </c>
      <c r="M72" s="27" t="e">
        <f ca="1">Interest_Under</f>
        <v>#N/A</v>
      </c>
      <c r="N72" s="27" t="e">
        <f ca="1">YearlySavings_Under</f>
        <v>#N/A</v>
      </c>
      <c r="O72" s="27" t="e">
        <f ca="1">DesiredRetirementIncome</f>
        <v>#N/A</v>
      </c>
      <c r="P72" s="27" t="e">
        <f ca="1">PensionIncome_Under</f>
        <v>#N/A</v>
      </c>
      <c r="Q72" s="27" t="e">
        <f ca="1">EndBalance</f>
        <v>#N/A</v>
      </c>
      <c r="T72" s="27" t="e">
        <f ca="1">Balance_Over</f>
        <v>#N/A</v>
      </c>
      <c r="U72" s="27" t="e">
        <f ca="1">Interest_Over</f>
        <v>#N/A</v>
      </c>
      <c r="V72" s="27" t="e">
        <f ca="1">YearlySavings_Over</f>
        <v>#N/A</v>
      </c>
      <c r="W72" s="27" t="e">
        <f ca="1">DesiredRetirementIncome</f>
        <v>#N/A</v>
      </c>
      <c r="X72" s="27" t="e">
        <f ca="1">PensionIncome_Over</f>
        <v>#N/A</v>
      </c>
      <c r="Y72" s="27" t="e">
        <f ca="1">EndBalance</f>
        <v>#N/A</v>
      </c>
      <c r="AB72" s="27" t="e">
        <f ca="1">IF(Calculations!B72&lt;DesiredRetirementAge,I72,NA())</f>
        <v>#N/A</v>
      </c>
      <c r="AC72" s="27" t="e">
        <f ca="1">IF(Calculations!B72&gt;=(DesiredRetirementAge-1),I72,NA())</f>
        <v>#N/A</v>
      </c>
      <c r="AD72" s="27"/>
      <c r="AF72" s="27" t="e">
        <f t="shared" ca="1" si="0"/>
        <v>#N/A</v>
      </c>
    </row>
    <row r="73" spans="2:32">
      <c r="B73" t="e">
        <f ca="1">Age</f>
        <v>#N/A</v>
      </c>
      <c r="C73" s="27" t="e">
        <f ca="1">Salary</f>
        <v>#N/A</v>
      </c>
      <c r="D73" s="27" t="e">
        <f ca="1">Balance</f>
        <v>#N/A</v>
      </c>
      <c r="E73" s="27" t="e">
        <f ca="1">Interest</f>
        <v>#N/A</v>
      </c>
      <c r="F73" s="27" t="e">
        <f ca="1">YearlySavings</f>
        <v>#N/A</v>
      </c>
      <c r="G73" s="27" t="e">
        <f ca="1">DesiredRetirementIncome</f>
        <v>#N/A</v>
      </c>
      <c r="H73" s="27" t="e">
        <f ca="1">PensionIncome</f>
        <v>#N/A</v>
      </c>
      <c r="I73" s="27" t="e">
        <f ca="1">EndBalance</f>
        <v>#N/A</v>
      </c>
      <c r="L73" s="27" t="e">
        <f ca="1">Balance_Under</f>
        <v>#N/A</v>
      </c>
      <c r="M73" s="27" t="e">
        <f ca="1">Interest_Under</f>
        <v>#N/A</v>
      </c>
      <c r="N73" s="27" t="e">
        <f ca="1">YearlySavings_Under</f>
        <v>#N/A</v>
      </c>
      <c r="O73" s="27" t="e">
        <f ca="1">DesiredRetirementIncome</f>
        <v>#N/A</v>
      </c>
      <c r="P73" s="27" t="e">
        <f ca="1">PensionIncome_Under</f>
        <v>#N/A</v>
      </c>
      <c r="Q73" s="27" t="e">
        <f ca="1">EndBalance</f>
        <v>#N/A</v>
      </c>
      <c r="T73" s="27" t="e">
        <f ca="1">Balance_Over</f>
        <v>#N/A</v>
      </c>
      <c r="U73" s="27" t="e">
        <f ca="1">Interest_Over</f>
        <v>#N/A</v>
      </c>
      <c r="V73" s="27" t="e">
        <f ca="1">YearlySavings_Over</f>
        <v>#N/A</v>
      </c>
      <c r="W73" s="27" t="e">
        <f ca="1">DesiredRetirementIncome</f>
        <v>#N/A</v>
      </c>
      <c r="X73" s="27" t="e">
        <f ca="1">PensionIncome_Over</f>
        <v>#N/A</v>
      </c>
      <c r="Y73" s="27" t="e">
        <f ca="1">EndBalance</f>
        <v>#N/A</v>
      </c>
      <c r="AB73" s="27" t="e">
        <f ca="1">IF(Calculations!B73&lt;DesiredRetirementAge,I73,NA())</f>
        <v>#N/A</v>
      </c>
      <c r="AC73" s="27" t="e">
        <f ca="1">IF(Calculations!B73&gt;=(DesiredRetirementAge-1),I73,NA())</f>
        <v>#N/A</v>
      </c>
      <c r="AD73" s="27"/>
      <c r="AF73" s="27" t="e">
        <f t="shared" ca="1" si="0"/>
        <v>#N/A</v>
      </c>
    </row>
    <row r="74" spans="2:32">
      <c r="B74" t="e">
        <f ca="1">Age</f>
        <v>#N/A</v>
      </c>
      <c r="C74" s="27" t="e">
        <f ca="1">Salary</f>
        <v>#N/A</v>
      </c>
      <c r="D74" s="27" t="e">
        <f ca="1">Balance</f>
        <v>#N/A</v>
      </c>
      <c r="E74" s="27" t="e">
        <f ca="1">Interest</f>
        <v>#N/A</v>
      </c>
      <c r="F74" s="27" t="e">
        <f ca="1">YearlySavings</f>
        <v>#N/A</v>
      </c>
      <c r="G74" s="27" t="e">
        <f ca="1">DesiredRetirementIncome</f>
        <v>#N/A</v>
      </c>
      <c r="H74" s="27" t="e">
        <f ca="1">PensionIncome</f>
        <v>#N/A</v>
      </c>
      <c r="I74" s="27" t="e">
        <f ca="1">EndBalance</f>
        <v>#N/A</v>
      </c>
      <c r="L74" s="27" t="e">
        <f ca="1">Balance_Under</f>
        <v>#N/A</v>
      </c>
      <c r="M74" s="27" t="e">
        <f ca="1">Interest_Under</f>
        <v>#N/A</v>
      </c>
      <c r="N74" s="27" t="e">
        <f ca="1">YearlySavings_Under</f>
        <v>#N/A</v>
      </c>
      <c r="O74" s="27" t="e">
        <f ca="1">DesiredRetirementIncome</f>
        <v>#N/A</v>
      </c>
      <c r="P74" s="27" t="e">
        <f ca="1">PensionIncome_Under</f>
        <v>#N/A</v>
      </c>
      <c r="Q74" s="27" t="e">
        <f ca="1">EndBalance</f>
        <v>#N/A</v>
      </c>
      <c r="T74" s="27" t="e">
        <f ca="1">Balance_Over</f>
        <v>#N/A</v>
      </c>
      <c r="U74" s="27" t="e">
        <f ca="1">Interest_Over</f>
        <v>#N/A</v>
      </c>
      <c r="V74" s="27" t="e">
        <f ca="1">YearlySavings_Over</f>
        <v>#N/A</v>
      </c>
      <c r="W74" s="27" t="e">
        <f ca="1">DesiredRetirementIncome</f>
        <v>#N/A</v>
      </c>
      <c r="X74" s="27" t="e">
        <f ca="1">PensionIncome_Over</f>
        <v>#N/A</v>
      </c>
      <c r="Y74" s="27" t="e">
        <f ca="1">EndBalance</f>
        <v>#N/A</v>
      </c>
      <c r="AB74" s="27" t="e">
        <f ca="1">IF(Calculations!B74&lt;DesiredRetirementAge,I74,NA())</f>
        <v>#N/A</v>
      </c>
      <c r="AC74" s="27" t="e">
        <f ca="1">IF(Calculations!B74&gt;=(DesiredRetirementAge-1),I74,NA())</f>
        <v>#N/A</v>
      </c>
      <c r="AD74" s="27"/>
      <c r="AF74" s="27" t="e">
        <f t="shared" ca="1" si="0"/>
        <v>#N/A</v>
      </c>
    </row>
    <row r="75" spans="2:32">
      <c r="B75" t="e">
        <f ca="1">Age</f>
        <v>#N/A</v>
      </c>
      <c r="C75" s="27" t="e">
        <f ca="1">Salary</f>
        <v>#N/A</v>
      </c>
      <c r="D75" s="27" t="e">
        <f ca="1">Balance</f>
        <v>#N/A</v>
      </c>
      <c r="E75" s="27" t="e">
        <f ca="1">Interest</f>
        <v>#N/A</v>
      </c>
      <c r="F75" s="27" t="e">
        <f ca="1">YearlySavings</f>
        <v>#N/A</v>
      </c>
      <c r="G75" s="27" t="e">
        <f ca="1">DesiredRetirementIncome</f>
        <v>#N/A</v>
      </c>
      <c r="H75" s="27" t="e">
        <f ca="1">PensionIncome</f>
        <v>#N/A</v>
      </c>
      <c r="I75" s="27" t="e">
        <f ca="1">EndBalance</f>
        <v>#N/A</v>
      </c>
      <c r="L75" s="27" t="e">
        <f ca="1">Balance_Under</f>
        <v>#N/A</v>
      </c>
      <c r="M75" s="27" t="e">
        <f ca="1">Interest_Under</f>
        <v>#N/A</v>
      </c>
      <c r="N75" s="27" t="e">
        <f ca="1">YearlySavings_Under</f>
        <v>#N/A</v>
      </c>
      <c r="O75" s="27" t="e">
        <f ca="1">DesiredRetirementIncome</f>
        <v>#N/A</v>
      </c>
      <c r="P75" s="27" t="e">
        <f ca="1">PensionIncome_Under</f>
        <v>#N/A</v>
      </c>
      <c r="Q75" s="27" t="e">
        <f ca="1">EndBalance</f>
        <v>#N/A</v>
      </c>
      <c r="T75" s="27" t="e">
        <f ca="1">Balance_Over</f>
        <v>#N/A</v>
      </c>
      <c r="U75" s="27" t="e">
        <f ca="1">Interest_Over</f>
        <v>#N/A</v>
      </c>
      <c r="V75" s="27" t="e">
        <f ca="1">YearlySavings_Over</f>
        <v>#N/A</v>
      </c>
      <c r="W75" s="27" t="e">
        <f ca="1">DesiredRetirementIncome</f>
        <v>#N/A</v>
      </c>
      <c r="X75" s="27" t="e">
        <f ca="1">PensionIncome_Over</f>
        <v>#N/A</v>
      </c>
      <c r="Y75" s="27" t="e">
        <f ca="1">EndBalance</f>
        <v>#N/A</v>
      </c>
      <c r="AB75" s="27" t="e">
        <f ca="1">IF(Calculations!B75&lt;DesiredRetirementAge,I75,NA())</f>
        <v>#N/A</v>
      </c>
      <c r="AC75" s="27" t="e">
        <f ca="1">IF(Calculations!B75&gt;=(DesiredRetirementAge-1),I75,NA())</f>
        <v>#N/A</v>
      </c>
      <c r="AD75" s="27"/>
      <c r="AF75" s="27" t="e">
        <f t="shared" ca="1" si="0"/>
        <v>#N/A</v>
      </c>
    </row>
    <row r="76" spans="2:32">
      <c r="B76" t="e">
        <f ca="1">Age</f>
        <v>#N/A</v>
      </c>
      <c r="C76" s="27" t="e">
        <f ca="1">Salary</f>
        <v>#N/A</v>
      </c>
      <c r="D76" s="27" t="e">
        <f ca="1">Balance</f>
        <v>#N/A</v>
      </c>
      <c r="E76" s="27" t="e">
        <f ca="1">Interest</f>
        <v>#N/A</v>
      </c>
      <c r="F76" s="27" t="e">
        <f ca="1">YearlySavings</f>
        <v>#N/A</v>
      </c>
      <c r="G76" s="27" t="e">
        <f ca="1">DesiredRetirementIncome</f>
        <v>#N/A</v>
      </c>
      <c r="H76" s="27" t="e">
        <f ca="1">PensionIncome</f>
        <v>#N/A</v>
      </c>
      <c r="I76" s="27" t="e">
        <f ca="1">EndBalance</f>
        <v>#N/A</v>
      </c>
      <c r="L76" s="27" t="e">
        <f ca="1">Balance_Under</f>
        <v>#N/A</v>
      </c>
      <c r="M76" s="27" t="e">
        <f ca="1">Interest_Under</f>
        <v>#N/A</v>
      </c>
      <c r="N76" s="27" t="e">
        <f ca="1">YearlySavings_Under</f>
        <v>#N/A</v>
      </c>
      <c r="O76" s="27" t="e">
        <f ca="1">DesiredRetirementIncome</f>
        <v>#N/A</v>
      </c>
      <c r="P76" s="27" t="e">
        <f ca="1">PensionIncome_Under</f>
        <v>#N/A</v>
      </c>
      <c r="Q76" s="27" t="e">
        <f ca="1">EndBalance</f>
        <v>#N/A</v>
      </c>
      <c r="T76" s="27" t="e">
        <f ca="1">Balance_Over</f>
        <v>#N/A</v>
      </c>
      <c r="U76" s="27" t="e">
        <f ca="1">Interest_Over</f>
        <v>#N/A</v>
      </c>
      <c r="V76" s="27" t="e">
        <f ca="1">YearlySavings_Over</f>
        <v>#N/A</v>
      </c>
      <c r="W76" s="27" t="e">
        <f ca="1">DesiredRetirementIncome</f>
        <v>#N/A</v>
      </c>
      <c r="X76" s="27" t="e">
        <f ca="1">PensionIncome_Over</f>
        <v>#N/A</v>
      </c>
      <c r="Y76" s="27" t="e">
        <f ca="1">EndBalance</f>
        <v>#N/A</v>
      </c>
      <c r="AB76" s="27" t="e">
        <f ca="1">IF(Calculations!B76&lt;DesiredRetirementAge,I76,NA())</f>
        <v>#N/A</v>
      </c>
      <c r="AC76" s="27" t="e">
        <f ca="1">IF(Calculations!B76&gt;=(DesiredRetirementAge-1),I76,NA())</f>
        <v>#N/A</v>
      </c>
      <c r="AD76" s="27"/>
      <c r="AF76" s="27" t="e">
        <f t="shared" ca="1" si="0"/>
        <v>#N/A</v>
      </c>
    </row>
    <row r="77" spans="2:32">
      <c r="B77" t="e">
        <f ca="1">Age</f>
        <v>#N/A</v>
      </c>
      <c r="C77" s="27" t="e">
        <f ca="1">Salary</f>
        <v>#N/A</v>
      </c>
      <c r="D77" s="27" t="e">
        <f ca="1">Balance</f>
        <v>#N/A</v>
      </c>
      <c r="E77" s="27" t="e">
        <f ca="1">Interest</f>
        <v>#N/A</v>
      </c>
      <c r="F77" s="27" t="e">
        <f ca="1">YearlySavings</f>
        <v>#N/A</v>
      </c>
      <c r="G77" s="27" t="e">
        <f ca="1">DesiredRetirementIncome</f>
        <v>#N/A</v>
      </c>
      <c r="H77" s="27" t="e">
        <f ca="1">PensionIncome</f>
        <v>#N/A</v>
      </c>
      <c r="I77" s="27" t="e">
        <f ca="1">EndBalance</f>
        <v>#N/A</v>
      </c>
      <c r="L77" s="27" t="e">
        <f ca="1">Balance_Under</f>
        <v>#N/A</v>
      </c>
      <c r="M77" s="27" t="e">
        <f ca="1">Interest_Under</f>
        <v>#N/A</v>
      </c>
      <c r="N77" s="27" t="e">
        <f ca="1">YearlySavings_Under</f>
        <v>#N/A</v>
      </c>
      <c r="O77" s="27" t="e">
        <f ca="1">DesiredRetirementIncome</f>
        <v>#N/A</v>
      </c>
      <c r="P77" s="27" t="e">
        <f ca="1">PensionIncome_Under</f>
        <v>#N/A</v>
      </c>
      <c r="Q77" s="27" t="e">
        <f ca="1">EndBalance</f>
        <v>#N/A</v>
      </c>
      <c r="T77" s="27" t="e">
        <f ca="1">Balance_Over</f>
        <v>#N/A</v>
      </c>
      <c r="U77" s="27" t="e">
        <f ca="1">Interest_Over</f>
        <v>#N/A</v>
      </c>
      <c r="V77" s="27" t="e">
        <f ca="1">YearlySavings_Over</f>
        <v>#N/A</v>
      </c>
      <c r="W77" s="27" t="e">
        <f ca="1">DesiredRetirementIncome</f>
        <v>#N/A</v>
      </c>
      <c r="X77" s="27" t="e">
        <f ca="1">PensionIncome_Over</f>
        <v>#N/A</v>
      </c>
      <c r="Y77" s="27" t="e">
        <f ca="1">EndBalance</f>
        <v>#N/A</v>
      </c>
      <c r="AB77" s="27" t="e">
        <f ca="1">IF(Calculations!B77&lt;DesiredRetirementAge,I77,NA())</f>
        <v>#N/A</v>
      </c>
      <c r="AC77" s="27" t="e">
        <f ca="1">IF(Calculations!B77&gt;=(DesiredRetirementAge-1),I77,NA())</f>
        <v>#N/A</v>
      </c>
      <c r="AD77" s="27"/>
      <c r="AF77" s="27" t="e">
        <f t="shared" ca="1" si="0"/>
        <v>#N/A</v>
      </c>
    </row>
    <row r="78" spans="2:32">
      <c r="B78" t="e">
        <f ca="1">Age</f>
        <v>#N/A</v>
      </c>
      <c r="C78" s="27" t="e">
        <f ca="1">Salary</f>
        <v>#N/A</v>
      </c>
      <c r="D78" s="27" t="e">
        <f ca="1">Balance</f>
        <v>#N/A</v>
      </c>
      <c r="E78" s="27" t="e">
        <f ca="1">Interest</f>
        <v>#N/A</v>
      </c>
      <c r="F78" s="27" t="e">
        <f ca="1">YearlySavings</f>
        <v>#N/A</v>
      </c>
      <c r="G78" s="27" t="e">
        <f ca="1">DesiredRetirementIncome</f>
        <v>#N/A</v>
      </c>
      <c r="H78" s="27" t="e">
        <f ca="1">PensionIncome</f>
        <v>#N/A</v>
      </c>
      <c r="I78" s="27" t="e">
        <f ca="1">EndBalance</f>
        <v>#N/A</v>
      </c>
      <c r="L78" s="27" t="e">
        <f ca="1">Balance_Under</f>
        <v>#N/A</v>
      </c>
      <c r="M78" s="27" t="e">
        <f ca="1">Interest_Under</f>
        <v>#N/A</v>
      </c>
      <c r="N78" s="27" t="e">
        <f ca="1">YearlySavings_Under</f>
        <v>#N/A</v>
      </c>
      <c r="O78" s="27" t="e">
        <f ca="1">DesiredRetirementIncome</f>
        <v>#N/A</v>
      </c>
      <c r="P78" s="27" t="e">
        <f ca="1">PensionIncome_Under</f>
        <v>#N/A</v>
      </c>
      <c r="Q78" s="27" t="e">
        <f ca="1">EndBalance</f>
        <v>#N/A</v>
      </c>
      <c r="T78" s="27" t="e">
        <f ca="1">Balance_Over</f>
        <v>#N/A</v>
      </c>
      <c r="U78" s="27" t="e">
        <f ca="1">Interest_Over</f>
        <v>#N/A</v>
      </c>
      <c r="V78" s="27" t="e">
        <f ca="1">YearlySavings_Over</f>
        <v>#N/A</v>
      </c>
      <c r="W78" s="27" t="e">
        <f ca="1">DesiredRetirementIncome</f>
        <v>#N/A</v>
      </c>
      <c r="X78" s="27" t="e">
        <f ca="1">PensionIncome_Over</f>
        <v>#N/A</v>
      </c>
      <c r="Y78" s="27" t="e">
        <f ca="1">EndBalance</f>
        <v>#N/A</v>
      </c>
      <c r="AB78" s="27" t="e">
        <f ca="1">IF(Calculations!B78&lt;DesiredRetirementAge,I78,NA())</f>
        <v>#N/A</v>
      </c>
      <c r="AC78" s="27" t="e">
        <f ca="1">IF(Calculations!B78&gt;=(DesiredRetirementAge-1),I78,NA())</f>
        <v>#N/A</v>
      </c>
      <c r="AD78" s="27"/>
      <c r="AF78" s="27" t="e">
        <f t="shared" ca="1" si="0"/>
        <v>#N/A</v>
      </c>
    </row>
    <row r="79" spans="2:32">
      <c r="B79" t="e">
        <f ca="1">Age</f>
        <v>#N/A</v>
      </c>
      <c r="C79" s="27" t="e">
        <f ca="1">Salary</f>
        <v>#N/A</v>
      </c>
      <c r="D79" s="27" t="e">
        <f ca="1">Balance</f>
        <v>#N/A</v>
      </c>
      <c r="E79" s="27" t="e">
        <f ca="1">Interest</f>
        <v>#N/A</v>
      </c>
      <c r="F79" s="27" t="e">
        <f ca="1">YearlySavings</f>
        <v>#N/A</v>
      </c>
      <c r="G79" s="27" t="e">
        <f ca="1">DesiredRetirementIncome</f>
        <v>#N/A</v>
      </c>
      <c r="H79" s="27" t="e">
        <f ca="1">PensionIncome</f>
        <v>#N/A</v>
      </c>
      <c r="I79" s="27" t="e">
        <f ca="1">EndBalance</f>
        <v>#N/A</v>
      </c>
      <c r="L79" s="27" t="e">
        <f ca="1">Balance_Under</f>
        <v>#N/A</v>
      </c>
      <c r="M79" s="27" t="e">
        <f ca="1">Interest_Under</f>
        <v>#N/A</v>
      </c>
      <c r="N79" s="27" t="e">
        <f ca="1">YearlySavings_Under</f>
        <v>#N/A</v>
      </c>
      <c r="O79" s="27" t="e">
        <f ca="1">DesiredRetirementIncome</f>
        <v>#N/A</v>
      </c>
      <c r="P79" s="27" t="e">
        <f ca="1">PensionIncome_Under</f>
        <v>#N/A</v>
      </c>
      <c r="Q79" s="27" t="e">
        <f ca="1">EndBalance</f>
        <v>#N/A</v>
      </c>
      <c r="T79" s="27" t="e">
        <f ca="1">Balance_Over</f>
        <v>#N/A</v>
      </c>
      <c r="U79" s="27" t="e">
        <f ca="1">Interest_Over</f>
        <v>#N/A</v>
      </c>
      <c r="V79" s="27" t="e">
        <f ca="1">YearlySavings_Over</f>
        <v>#N/A</v>
      </c>
      <c r="W79" s="27" t="e">
        <f ca="1">DesiredRetirementIncome</f>
        <v>#N/A</v>
      </c>
      <c r="X79" s="27" t="e">
        <f ca="1">PensionIncome_Over</f>
        <v>#N/A</v>
      </c>
      <c r="Y79" s="27" t="e">
        <f ca="1">EndBalance</f>
        <v>#N/A</v>
      </c>
      <c r="AB79" s="27" t="e">
        <f ca="1">IF(Calculations!B79&lt;DesiredRetirementAge,I79,NA())</f>
        <v>#N/A</v>
      </c>
      <c r="AC79" s="27" t="e">
        <f ca="1">IF(Calculations!B79&gt;=(DesiredRetirementAge-1),I79,NA())</f>
        <v>#N/A</v>
      </c>
      <c r="AD79" s="27"/>
      <c r="AF79" s="27" t="e">
        <f t="shared" ca="1" si="0"/>
        <v>#N/A</v>
      </c>
    </row>
    <row r="80" spans="2:32">
      <c r="B80" t="e">
        <f ca="1">Age</f>
        <v>#N/A</v>
      </c>
      <c r="C80" s="27" t="e">
        <f ca="1">Salary</f>
        <v>#N/A</v>
      </c>
      <c r="D80" s="27" t="e">
        <f ca="1">Balance</f>
        <v>#N/A</v>
      </c>
      <c r="E80" s="27" t="e">
        <f ca="1">Interest</f>
        <v>#N/A</v>
      </c>
      <c r="F80" s="27" t="e">
        <f ca="1">YearlySavings</f>
        <v>#N/A</v>
      </c>
      <c r="G80" s="27" t="e">
        <f ca="1">DesiredRetirementIncome</f>
        <v>#N/A</v>
      </c>
      <c r="H80" s="27" t="e">
        <f ca="1">PensionIncome</f>
        <v>#N/A</v>
      </c>
      <c r="I80" s="27" t="e">
        <f ca="1">EndBalance</f>
        <v>#N/A</v>
      </c>
      <c r="L80" s="27" t="e">
        <f ca="1">Balance_Under</f>
        <v>#N/A</v>
      </c>
      <c r="M80" s="27" t="e">
        <f ca="1">Interest_Under</f>
        <v>#N/A</v>
      </c>
      <c r="N80" s="27" t="e">
        <f ca="1">YearlySavings_Under</f>
        <v>#N/A</v>
      </c>
      <c r="O80" s="27" t="e">
        <f ca="1">DesiredRetirementIncome</f>
        <v>#N/A</v>
      </c>
      <c r="P80" s="27" t="e">
        <f ca="1">PensionIncome_Under</f>
        <v>#N/A</v>
      </c>
      <c r="Q80" s="27" t="e">
        <f ca="1">EndBalance</f>
        <v>#N/A</v>
      </c>
      <c r="T80" s="27" t="e">
        <f ca="1">Balance_Over</f>
        <v>#N/A</v>
      </c>
      <c r="U80" s="27" t="e">
        <f ca="1">Interest_Over</f>
        <v>#N/A</v>
      </c>
      <c r="V80" s="27" t="e">
        <f ca="1">YearlySavings_Over</f>
        <v>#N/A</v>
      </c>
      <c r="W80" s="27" t="e">
        <f ca="1">DesiredRetirementIncome</f>
        <v>#N/A</v>
      </c>
      <c r="X80" s="27" t="e">
        <f ca="1">PensionIncome_Over</f>
        <v>#N/A</v>
      </c>
      <c r="Y80" s="27" t="e">
        <f ca="1">EndBalance</f>
        <v>#N/A</v>
      </c>
      <c r="AB80" s="27" t="e">
        <f ca="1">IF(Calculations!B80&lt;DesiredRetirementAge,I80,NA())</f>
        <v>#N/A</v>
      </c>
      <c r="AC80" s="27" t="e">
        <f ca="1">IF(Calculations!B80&gt;=(DesiredRetirementAge-1),I80,NA())</f>
        <v>#N/A</v>
      </c>
      <c r="AD80" s="27"/>
      <c r="AF80" s="27" t="e">
        <f t="shared" ref="AF80:AF114" ca="1" si="1">Y80-Q80</f>
        <v>#N/A</v>
      </c>
    </row>
    <row r="81" spans="2:32">
      <c r="B81" t="e">
        <f ca="1">Age</f>
        <v>#N/A</v>
      </c>
      <c r="C81" s="27" t="e">
        <f ca="1">Salary</f>
        <v>#N/A</v>
      </c>
      <c r="D81" s="27" t="e">
        <f ca="1">Balance</f>
        <v>#N/A</v>
      </c>
      <c r="E81" s="27" t="e">
        <f ca="1">Interest</f>
        <v>#N/A</v>
      </c>
      <c r="F81" s="27" t="e">
        <f ca="1">YearlySavings</f>
        <v>#N/A</v>
      </c>
      <c r="G81" s="27" t="e">
        <f ca="1">DesiredRetirementIncome</f>
        <v>#N/A</v>
      </c>
      <c r="H81" s="27" t="e">
        <f ca="1">PensionIncome</f>
        <v>#N/A</v>
      </c>
      <c r="I81" s="27" t="e">
        <f ca="1">EndBalance</f>
        <v>#N/A</v>
      </c>
      <c r="L81" s="27" t="e">
        <f ca="1">Balance_Under</f>
        <v>#N/A</v>
      </c>
      <c r="M81" s="27" t="e">
        <f ca="1">Interest_Under</f>
        <v>#N/A</v>
      </c>
      <c r="N81" s="27" t="e">
        <f ca="1">YearlySavings_Under</f>
        <v>#N/A</v>
      </c>
      <c r="O81" s="27" t="e">
        <f ca="1">DesiredRetirementIncome</f>
        <v>#N/A</v>
      </c>
      <c r="P81" s="27" t="e">
        <f ca="1">PensionIncome_Under</f>
        <v>#N/A</v>
      </c>
      <c r="Q81" s="27" t="e">
        <f ca="1">EndBalance</f>
        <v>#N/A</v>
      </c>
      <c r="T81" s="27" t="e">
        <f ca="1">Balance_Over</f>
        <v>#N/A</v>
      </c>
      <c r="U81" s="27" t="e">
        <f ca="1">Interest_Over</f>
        <v>#N/A</v>
      </c>
      <c r="V81" s="27" t="e">
        <f ca="1">YearlySavings_Over</f>
        <v>#N/A</v>
      </c>
      <c r="W81" s="27" t="e">
        <f ca="1">DesiredRetirementIncome</f>
        <v>#N/A</v>
      </c>
      <c r="X81" s="27" t="e">
        <f ca="1">PensionIncome_Over</f>
        <v>#N/A</v>
      </c>
      <c r="Y81" s="27" t="e">
        <f ca="1">EndBalance</f>
        <v>#N/A</v>
      </c>
      <c r="AB81" s="27" t="e">
        <f ca="1">IF(Calculations!B81&lt;DesiredRetirementAge,I81,NA())</f>
        <v>#N/A</v>
      </c>
      <c r="AC81" s="27" t="e">
        <f ca="1">IF(Calculations!B81&gt;=(DesiredRetirementAge-1),I81,NA())</f>
        <v>#N/A</v>
      </c>
      <c r="AD81" s="27"/>
      <c r="AF81" s="27" t="e">
        <f t="shared" ca="1" si="1"/>
        <v>#N/A</v>
      </c>
    </row>
    <row r="82" spans="2:32">
      <c r="B82" t="e">
        <f ca="1">Age</f>
        <v>#N/A</v>
      </c>
      <c r="C82" s="27" t="e">
        <f ca="1">Salary</f>
        <v>#N/A</v>
      </c>
      <c r="D82" s="27" t="e">
        <f ca="1">Balance</f>
        <v>#N/A</v>
      </c>
      <c r="E82" s="27" t="e">
        <f ca="1">Interest</f>
        <v>#N/A</v>
      </c>
      <c r="F82" s="27" t="e">
        <f ca="1">YearlySavings</f>
        <v>#N/A</v>
      </c>
      <c r="G82" s="27" t="e">
        <f ca="1">DesiredRetirementIncome</f>
        <v>#N/A</v>
      </c>
      <c r="H82" s="27" t="e">
        <f ca="1">PensionIncome</f>
        <v>#N/A</v>
      </c>
      <c r="I82" s="27" t="e">
        <f ca="1">EndBalance</f>
        <v>#N/A</v>
      </c>
      <c r="L82" s="27" t="e">
        <f ca="1">Balance_Under</f>
        <v>#N/A</v>
      </c>
      <c r="M82" s="27" t="e">
        <f ca="1">Interest_Under</f>
        <v>#N/A</v>
      </c>
      <c r="N82" s="27" t="e">
        <f ca="1">YearlySavings_Under</f>
        <v>#N/A</v>
      </c>
      <c r="O82" s="27" t="e">
        <f ca="1">DesiredRetirementIncome</f>
        <v>#N/A</v>
      </c>
      <c r="P82" s="27" t="e">
        <f ca="1">PensionIncome_Under</f>
        <v>#N/A</v>
      </c>
      <c r="Q82" s="27" t="e">
        <f ca="1">EndBalance</f>
        <v>#N/A</v>
      </c>
      <c r="T82" s="27" t="e">
        <f ca="1">Balance_Over</f>
        <v>#N/A</v>
      </c>
      <c r="U82" s="27" t="e">
        <f ca="1">Interest_Over</f>
        <v>#N/A</v>
      </c>
      <c r="V82" s="27" t="e">
        <f ca="1">YearlySavings_Over</f>
        <v>#N/A</v>
      </c>
      <c r="W82" s="27" t="e">
        <f ca="1">DesiredRetirementIncome</f>
        <v>#N/A</v>
      </c>
      <c r="X82" s="27" t="e">
        <f ca="1">PensionIncome_Over</f>
        <v>#N/A</v>
      </c>
      <c r="Y82" s="27" t="e">
        <f ca="1">EndBalance</f>
        <v>#N/A</v>
      </c>
      <c r="AB82" s="27" t="e">
        <f ca="1">IF(Calculations!B82&lt;DesiredRetirementAge,I82,NA())</f>
        <v>#N/A</v>
      </c>
      <c r="AC82" s="27" t="e">
        <f ca="1">IF(Calculations!B82&gt;=(DesiredRetirementAge-1),I82,NA())</f>
        <v>#N/A</v>
      </c>
      <c r="AD82" s="27"/>
      <c r="AF82" s="27" t="e">
        <f t="shared" ca="1" si="1"/>
        <v>#N/A</v>
      </c>
    </row>
    <row r="83" spans="2:32">
      <c r="B83" t="e">
        <f ca="1">Age</f>
        <v>#N/A</v>
      </c>
      <c r="C83" s="27" t="e">
        <f ca="1">Salary</f>
        <v>#N/A</v>
      </c>
      <c r="D83" s="27" t="e">
        <f ca="1">Balance</f>
        <v>#N/A</v>
      </c>
      <c r="E83" s="27" t="e">
        <f ca="1">Interest</f>
        <v>#N/A</v>
      </c>
      <c r="F83" s="27" t="e">
        <f ca="1">YearlySavings</f>
        <v>#N/A</v>
      </c>
      <c r="G83" s="27" t="e">
        <f ca="1">DesiredRetirementIncome</f>
        <v>#N/A</v>
      </c>
      <c r="H83" s="27" t="e">
        <f ca="1">PensionIncome</f>
        <v>#N/A</v>
      </c>
      <c r="I83" s="27" t="e">
        <f ca="1">EndBalance</f>
        <v>#N/A</v>
      </c>
      <c r="L83" s="27" t="e">
        <f ca="1">Balance_Under</f>
        <v>#N/A</v>
      </c>
      <c r="M83" s="27" t="e">
        <f ca="1">Interest_Under</f>
        <v>#N/A</v>
      </c>
      <c r="N83" s="27" t="e">
        <f ca="1">YearlySavings_Under</f>
        <v>#N/A</v>
      </c>
      <c r="O83" s="27" t="e">
        <f ca="1">DesiredRetirementIncome</f>
        <v>#N/A</v>
      </c>
      <c r="P83" s="27" t="e">
        <f ca="1">PensionIncome_Under</f>
        <v>#N/A</v>
      </c>
      <c r="Q83" s="27" t="e">
        <f ca="1">EndBalance</f>
        <v>#N/A</v>
      </c>
      <c r="T83" s="27" t="e">
        <f ca="1">Balance_Over</f>
        <v>#N/A</v>
      </c>
      <c r="U83" s="27" t="e">
        <f ca="1">Interest_Over</f>
        <v>#N/A</v>
      </c>
      <c r="V83" s="27" t="e">
        <f ca="1">YearlySavings_Over</f>
        <v>#N/A</v>
      </c>
      <c r="W83" s="27" t="e">
        <f ca="1">DesiredRetirementIncome</f>
        <v>#N/A</v>
      </c>
      <c r="X83" s="27" t="e">
        <f ca="1">PensionIncome_Over</f>
        <v>#N/A</v>
      </c>
      <c r="Y83" s="27" t="e">
        <f ca="1">EndBalance</f>
        <v>#N/A</v>
      </c>
      <c r="AB83" s="27" t="e">
        <f ca="1">IF(Calculations!B83&lt;DesiredRetirementAge,I83,NA())</f>
        <v>#N/A</v>
      </c>
      <c r="AC83" s="27" t="e">
        <f ca="1">IF(Calculations!B83&gt;=(DesiredRetirementAge-1),I83,NA())</f>
        <v>#N/A</v>
      </c>
      <c r="AD83" s="27"/>
      <c r="AF83" s="27" t="e">
        <f t="shared" ca="1" si="1"/>
        <v>#N/A</v>
      </c>
    </row>
    <row r="84" spans="2:32">
      <c r="B84" t="e">
        <f ca="1">Age</f>
        <v>#N/A</v>
      </c>
      <c r="C84" s="27" t="e">
        <f ca="1">Salary</f>
        <v>#N/A</v>
      </c>
      <c r="D84" s="27" t="e">
        <f ca="1">Balance</f>
        <v>#N/A</v>
      </c>
      <c r="E84" s="27" t="e">
        <f ca="1">Interest</f>
        <v>#N/A</v>
      </c>
      <c r="F84" s="27" t="e">
        <f ca="1">YearlySavings</f>
        <v>#N/A</v>
      </c>
      <c r="G84" s="27" t="e">
        <f ca="1">DesiredRetirementIncome</f>
        <v>#N/A</v>
      </c>
      <c r="H84" s="27" t="e">
        <f ca="1">PensionIncome</f>
        <v>#N/A</v>
      </c>
      <c r="I84" s="27" t="e">
        <f ca="1">EndBalance</f>
        <v>#N/A</v>
      </c>
      <c r="L84" s="27" t="e">
        <f ca="1">Balance_Under</f>
        <v>#N/A</v>
      </c>
      <c r="M84" s="27" t="e">
        <f ca="1">Interest_Under</f>
        <v>#N/A</v>
      </c>
      <c r="N84" s="27" t="e">
        <f ca="1">YearlySavings_Under</f>
        <v>#N/A</v>
      </c>
      <c r="O84" s="27" t="e">
        <f ca="1">DesiredRetirementIncome</f>
        <v>#N/A</v>
      </c>
      <c r="P84" s="27" t="e">
        <f ca="1">PensionIncome_Under</f>
        <v>#N/A</v>
      </c>
      <c r="Q84" s="27" t="e">
        <f ca="1">EndBalance</f>
        <v>#N/A</v>
      </c>
      <c r="T84" s="27" t="e">
        <f ca="1">Balance_Over</f>
        <v>#N/A</v>
      </c>
      <c r="U84" s="27" t="e">
        <f ca="1">Interest_Over</f>
        <v>#N/A</v>
      </c>
      <c r="V84" s="27" t="e">
        <f ca="1">YearlySavings_Over</f>
        <v>#N/A</v>
      </c>
      <c r="W84" s="27" t="e">
        <f ca="1">DesiredRetirementIncome</f>
        <v>#N/A</v>
      </c>
      <c r="X84" s="27" t="e">
        <f ca="1">PensionIncome_Over</f>
        <v>#N/A</v>
      </c>
      <c r="Y84" s="27" t="e">
        <f ca="1">EndBalance</f>
        <v>#N/A</v>
      </c>
      <c r="AB84" s="27" t="e">
        <f ca="1">IF(Calculations!B84&lt;DesiredRetirementAge,I84,NA())</f>
        <v>#N/A</v>
      </c>
      <c r="AC84" s="27" t="e">
        <f ca="1">IF(Calculations!B84&gt;=(DesiredRetirementAge-1),I84,NA())</f>
        <v>#N/A</v>
      </c>
      <c r="AD84" s="27"/>
      <c r="AF84" s="27" t="e">
        <f t="shared" ca="1" si="1"/>
        <v>#N/A</v>
      </c>
    </row>
    <row r="85" spans="2:32">
      <c r="B85" t="e">
        <f ca="1">Age</f>
        <v>#N/A</v>
      </c>
      <c r="C85" s="27" t="e">
        <f ca="1">Salary</f>
        <v>#N/A</v>
      </c>
      <c r="D85" s="27" t="e">
        <f ca="1">Balance</f>
        <v>#N/A</v>
      </c>
      <c r="E85" s="27" t="e">
        <f ca="1">Interest</f>
        <v>#N/A</v>
      </c>
      <c r="F85" s="27" t="e">
        <f ca="1">YearlySavings</f>
        <v>#N/A</v>
      </c>
      <c r="G85" s="27" t="e">
        <f ca="1">DesiredRetirementIncome</f>
        <v>#N/A</v>
      </c>
      <c r="H85" s="27" t="e">
        <f ca="1">PensionIncome</f>
        <v>#N/A</v>
      </c>
      <c r="I85" s="27" t="e">
        <f ca="1">EndBalance</f>
        <v>#N/A</v>
      </c>
      <c r="L85" s="27" t="e">
        <f ca="1">Balance_Under</f>
        <v>#N/A</v>
      </c>
      <c r="M85" s="27" t="e">
        <f ca="1">Interest_Under</f>
        <v>#N/A</v>
      </c>
      <c r="N85" s="27" t="e">
        <f ca="1">YearlySavings_Under</f>
        <v>#N/A</v>
      </c>
      <c r="O85" s="27" t="e">
        <f ca="1">DesiredRetirementIncome</f>
        <v>#N/A</v>
      </c>
      <c r="P85" s="27" t="e">
        <f ca="1">PensionIncome_Under</f>
        <v>#N/A</v>
      </c>
      <c r="Q85" s="27" t="e">
        <f ca="1">EndBalance</f>
        <v>#N/A</v>
      </c>
      <c r="T85" s="27" t="e">
        <f ca="1">Balance_Over</f>
        <v>#N/A</v>
      </c>
      <c r="U85" s="27" t="e">
        <f ca="1">Interest_Over</f>
        <v>#N/A</v>
      </c>
      <c r="V85" s="27" t="e">
        <f ca="1">YearlySavings_Over</f>
        <v>#N/A</v>
      </c>
      <c r="W85" s="27" t="e">
        <f ca="1">DesiredRetirementIncome</f>
        <v>#N/A</v>
      </c>
      <c r="X85" s="27" t="e">
        <f ca="1">PensionIncome_Over</f>
        <v>#N/A</v>
      </c>
      <c r="Y85" s="27" t="e">
        <f ca="1">EndBalance</f>
        <v>#N/A</v>
      </c>
      <c r="AB85" s="27" t="e">
        <f ca="1">IF(Calculations!B85&lt;DesiredRetirementAge,I85,NA())</f>
        <v>#N/A</v>
      </c>
      <c r="AC85" s="27" t="e">
        <f ca="1">IF(Calculations!B85&gt;=(DesiredRetirementAge-1),I85,NA())</f>
        <v>#N/A</v>
      </c>
      <c r="AD85" s="27"/>
      <c r="AF85" s="27" t="e">
        <f t="shared" ca="1" si="1"/>
        <v>#N/A</v>
      </c>
    </row>
    <row r="86" spans="2:32">
      <c r="B86" t="e">
        <f ca="1">Age</f>
        <v>#N/A</v>
      </c>
      <c r="C86" s="27" t="e">
        <f ca="1">Salary</f>
        <v>#N/A</v>
      </c>
      <c r="D86" s="27" t="e">
        <f ca="1">Balance</f>
        <v>#N/A</v>
      </c>
      <c r="E86" s="27" t="e">
        <f ca="1">Interest</f>
        <v>#N/A</v>
      </c>
      <c r="F86" s="27" t="e">
        <f ca="1">YearlySavings</f>
        <v>#N/A</v>
      </c>
      <c r="G86" s="27" t="e">
        <f ca="1">DesiredRetirementIncome</f>
        <v>#N/A</v>
      </c>
      <c r="H86" s="27" t="e">
        <f ca="1">PensionIncome</f>
        <v>#N/A</v>
      </c>
      <c r="I86" s="27" t="e">
        <f ca="1">EndBalance</f>
        <v>#N/A</v>
      </c>
      <c r="L86" s="27" t="e">
        <f ca="1">Balance_Under</f>
        <v>#N/A</v>
      </c>
      <c r="M86" s="27" t="e">
        <f ca="1">Interest_Under</f>
        <v>#N/A</v>
      </c>
      <c r="N86" s="27" t="e">
        <f ca="1">YearlySavings_Under</f>
        <v>#N/A</v>
      </c>
      <c r="O86" s="27" t="e">
        <f ca="1">DesiredRetirementIncome</f>
        <v>#N/A</v>
      </c>
      <c r="P86" s="27" t="e">
        <f ca="1">PensionIncome_Under</f>
        <v>#N/A</v>
      </c>
      <c r="Q86" s="27" t="e">
        <f ca="1">EndBalance</f>
        <v>#N/A</v>
      </c>
      <c r="T86" s="27" t="e">
        <f ca="1">Balance_Over</f>
        <v>#N/A</v>
      </c>
      <c r="U86" s="27" t="e">
        <f ca="1">Interest_Over</f>
        <v>#N/A</v>
      </c>
      <c r="V86" s="27" t="e">
        <f ca="1">YearlySavings_Over</f>
        <v>#N/A</v>
      </c>
      <c r="W86" s="27" t="e">
        <f ca="1">DesiredRetirementIncome</f>
        <v>#N/A</v>
      </c>
      <c r="X86" s="27" t="e">
        <f ca="1">PensionIncome_Over</f>
        <v>#N/A</v>
      </c>
      <c r="Y86" s="27" t="e">
        <f ca="1">EndBalance</f>
        <v>#N/A</v>
      </c>
      <c r="AB86" s="27" t="e">
        <f ca="1">IF(Calculations!B86&lt;DesiredRetirementAge,I86,NA())</f>
        <v>#N/A</v>
      </c>
      <c r="AC86" s="27" t="e">
        <f ca="1">IF(Calculations!B86&gt;=(DesiredRetirementAge-1),I86,NA())</f>
        <v>#N/A</v>
      </c>
      <c r="AD86" s="27"/>
      <c r="AF86" s="27" t="e">
        <f t="shared" ca="1" si="1"/>
        <v>#N/A</v>
      </c>
    </row>
    <row r="87" spans="2:32">
      <c r="B87" t="e">
        <f ca="1">Age</f>
        <v>#N/A</v>
      </c>
      <c r="C87" s="27" t="e">
        <f ca="1">Salary</f>
        <v>#N/A</v>
      </c>
      <c r="D87" s="27" t="e">
        <f ca="1">Balance</f>
        <v>#N/A</v>
      </c>
      <c r="E87" s="27" t="e">
        <f ca="1">Interest</f>
        <v>#N/A</v>
      </c>
      <c r="F87" s="27" t="e">
        <f ca="1">YearlySavings</f>
        <v>#N/A</v>
      </c>
      <c r="G87" s="27" t="e">
        <f ca="1">DesiredRetirementIncome</f>
        <v>#N/A</v>
      </c>
      <c r="H87" s="27" t="e">
        <f ca="1">PensionIncome</f>
        <v>#N/A</v>
      </c>
      <c r="I87" s="27" t="e">
        <f ca="1">EndBalance</f>
        <v>#N/A</v>
      </c>
      <c r="L87" s="27" t="e">
        <f ca="1">Balance_Under</f>
        <v>#N/A</v>
      </c>
      <c r="M87" s="27" t="e">
        <f ca="1">Interest_Under</f>
        <v>#N/A</v>
      </c>
      <c r="N87" s="27" t="e">
        <f ca="1">YearlySavings_Under</f>
        <v>#N/A</v>
      </c>
      <c r="O87" s="27" t="e">
        <f ca="1">DesiredRetirementIncome</f>
        <v>#N/A</v>
      </c>
      <c r="P87" s="27" t="e">
        <f ca="1">PensionIncome_Under</f>
        <v>#N/A</v>
      </c>
      <c r="Q87" s="27" t="e">
        <f ca="1">EndBalance</f>
        <v>#N/A</v>
      </c>
      <c r="T87" s="27" t="e">
        <f ca="1">Balance_Over</f>
        <v>#N/A</v>
      </c>
      <c r="U87" s="27" t="e">
        <f ca="1">Interest_Over</f>
        <v>#N/A</v>
      </c>
      <c r="V87" s="27" t="e">
        <f ca="1">YearlySavings_Over</f>
        <v>#N/A</v>
      </c>
      <c r="W87" s="27" t="e">
        <f ca="1">DesiredRetirementIncome</f>
        <v>#N/A</v>
      </c>
      <c r="X87" s="27" t="e">
        <f ca="1">PensionIncome_Over</f>
        <v>#N/A</v>
      </c>
      <c r="Y87" s="27" t="e">
        <f ca="1">EndBalance</f>
        <v>#N/A</v>
      </c>
      <c r="AB87" s="27" t="e">
        <f ca="1">IF(Calculations!B87&lt;DesiredRetirementAge,I87,NA())</f>
        <v>#N/A</v>
      </c>
      <c r="AC87" s="27" t="e">
        <f ca="1">IF(Calculations!B87&gt;=(DesiredRetirementAge-1),I87,NA())</f>
        <v>#N/A</v>
      </c>
      <c r="AD87" s="27"/>
      <c r="AF87" s="27" t="e">
        <f t="shared" ca="1" si="1"/>
        <v>#N/A</v>
      </c>
    </row>
    <row r="88" spans="2:32">
      <c r="B88" t="e">
        <f ca="1">Age</f>
        <v>#N/A</v>
      </c>
      <c r="C88" s="27" t="e">
        <f ca="1">Salary</f>
        <v>#N/A</v>
      </c>
      <c r="D88" s="27" t="e">
        <f ca="1">Balance</f>
        <v>#N/A</v>
      </c>
      <c r="E88" s="27" t="e">
        <f ca="1">Interest</f>
        <v>#N/A</v>
      </c>
      <c r="F88" s="27" t="e">
        <f ca="1">YearlySavings</f>
        <v>#N/A</v>
      </c>
      <c r="G88" s="27" t="e">
        <f ca="1">DesiredRetirementIncome</f>
        <v>#N/A</v>
      </c>
      <c r="H88" s="27" t="e">
        <f ca="1">PensionIncome</f>
        <v>#N/A</v>
      </c>
      <c r="I88" s="27" t="e">
        <f ca="1">EndBalance</f>
        <v>#N/A</v>
      </c>
      <c r="L88" s="27" t="e">
        <f ca="1">Balance_Under</f>
        <v>#N/A</v>
      </c>
      <c r="M88" s="27" t="e">
        <f ca="1">Interest_Under</f>
        <v>#N/A</v>
      </c>
      <c r="N88" s="27" t="e">
        <f ca="1">YearlySavings_Under</f>
        <v>#N/A</v>
      </c>
      <c r="O88" s="27" t="e">
        <f ca="1">DesiredRetirementIncome</f>
        <v>#N/A</v>
      </c>
      <c r="P88" s="27" t="e">
        <f ca="1">PensionIncome_Under</f>
        <v>#N/A</v>
      </c>
      <c r="Q88" s="27" t="e">
        <f ca="1">EndBalance</f>
        <v>#N/A</v>
      </c>
      <c r="T88" s="27" t="e">
        <f ca="1">Balance_Over</f>
        <v>#N/A</v>
      </c>
      <c r="U88" s="27" t="e">
        <f ca="1">Interest_Over</f>
        <v>#N/A</v>
      </c>
      <c r="V88" s="27" t="e">
        <f ca="1">YearlySavings_Over</f>
        <v>#N/A</v>
      </c>
      <c r="W88" s="27" t="e">
        <f ca="1">DesiredRetirementIncome</f>
        <v>#N/A</v>
      </c>
      <c r="X88" s="27" t="e">
        <f ca="1">PensionIncome_Over</f>
        <v>#N/A</v>
      </c>
      <c r="Y88" s="27" t="e">
        <f ca="1">EndBalance</f>
        <v>#N/A</v>
      </c>
      <c r="AB88" s="27" t="e">
        <f ca="1">IF(Calculations!B88&lt;DesiredRetirementAge,I88,NA())</f>
        <v>#N/A</v>
      </c>
      <c r="AC88" s="27" t="e">
        <f ca="1">IF(Calculations!B88&gt;=(DesiredRetirementAge-1),I88,NA())</f>
        <v>#N/A</v>
      </c>
      <c r="AD88" s="27"/>
      <c r="AF88" s="27" t="e">
        <f t="shared" ca="1" si="1"/>
        <v>#N/A</v>
      </c>
    </row>
    <row r="89" spans="2:32">
      <c r="B89" t="e">
        <f ca="1">Age</f>
        <v>#N/A</v>
      </c>
      <c r="C89" s="27" t="e">
        <f ca="1">Salary</f>
        <v>#N/A</v>
      </c>
      <c r="D89" s="27" t="e">
        <f ca="1">Balance</f>
        <v>#N/A</v>
      </c>
      <c r="E89" s="27" t="e">
        <f ca="1">Interest</f>
        <v>#N/A</v>
      </c>
      <c r="F89" s="27" t="e">
        <f ca="1">YearlySavings</f>
        <v>#N/A</v>
      </c>
      <c r="G89" s="27" t="e">
        <f ca="1">DesiredRetirementIncome</f>
        <v>#N/A</v>
      </c>
      <c r="H89" s="27" t="e">
        <f ca="1">PensionIncome</f>
        <v>#N/A</v>
      </c>
      <c r="I89" s="27" t="e">
        <f ca="1">EndBalance</f>
        <v>#N/A</v>
      </c>
      <c r="L89" s="27" t="e">
        <f ca="1">Balance_Under</f>
        <v>#N/A</v>
      </c>
      <c r="M89" s="27" t="e">
        <f ca="1">Interest_Under</f>
        <v>#N/A</v>
      </c>
      <c r="N89" s="27" t="e">
        <f ca="1">YearlySavings_Under</f>
        <v>#N/A</v>
      </c>
      <c r="O89" s="27" t="e">
        <f ca="1">DesiredRetirementIncome</f>
        <v>#N/A</v>
      </c>
      <c r="P89" s="27" t="e">
        <f ca="1">PensionIncome_Under</f>
        <v>#N/A</v>
      </c>
      <c r="Q89" s="27" t="e">
        <f ca="1">EndBalance</f>
        <v>#N/A</v>
      </c>
      <c r="T89" s="27" t="e">
        <f ca="1">Balance_Over</f>
        <v>#N/A</v>
      </c>
      <c r="U89" s="27" t="e">
        <f ca="1">Interest_Over</f>
        <v>#N/A</v>
      </c>
      <c r="V89" s="27" t="e">
        <f ca="1">YearlySavings_Over</f>
        <v>#N/A</v>
      </c>
      <c r="W89" s="27" t="e">
        <f ca="1">DesiredRetirementIncome</f>
        <v>#N/A</v>
      </c>
      <c r="X89" s="27" t="e">
        <f ca="1">PensionIncome_Over</f>
        <v>#N/A</v>
      </c>
      <c r="Y89" s="27" t="e">
        <f ca="1">EndBalance</f>
        <v>#N/A</v>
      </c>
      <c r="AB89" s="27" t="e">
        <f ca="1">IF(Calculations!B89&lt;DesiredRetirementAge,I89,NA())</f>
        <v>#N/A</v>
      </c>
      <c r="AC89" s="27" t="e">
        <f ca="1">IF(Calculations!B89&gt;=(DesiredRetirementAge-1),I89,NA())</f>
        <v>#N/A</v>
      </c>
      <c r="AD89" s="27"/>
      <c r="AF89" s="27" t="e">
        <f t="shared" ca="1" si="1"/>
        <v>#N/A</v>
      </c>
    </row>
    <row r="90" spans="2:32">
      <c r="B90" t="e">
        <f ca="1">Age</f>
        <v>#N/A</v>
      </c>
      <c r="C90" s="27" t="e">
        <f ca="1">Salary</f>
        <v>#N/A</v>
      </c>
      <c r="D90" s="27" t="e">
        <f ca="1">Balance</f>
        <v>#N/A</v>
      </c>
      <c r="E90" s="27" t="e">
        <f ca="1">Interest</f>
        <v>#N/A</v>
      </c>
      <c r="F90" s="27" t="e">
        <f ca="1">YearlySavings</f>
        <v>#N/A</v>
      </c>
      <c r="G90" s="27" t="e">
        <f ca="1">DesiredRetirementIncome</f>
        <v>#N/A</v>
      </c>
      <c r="H90" s="27" t="e">
        <f ca="1">PensionIncome</f>
        <v>#N/A</v>
      </c>
      <c r="I90" s="27" t="e">
        <f ca="1">EndBalance</f>
        <v>#N/A</v>
      </c>
      <c r="L90" s="27" t="e">
        <f ca="1">Balance_Under</f>
        <v>#N/A</v>
      </c>
      <c r="M90" s="27" t="e">
        <f ca="1">Interest_Under</f>
        <v>#N/A</v>
      </c>
      <c r="N90" s="27" t="e">
        <f ca="1">YearlySavings_Under</f>
        <v>#N/A</v>
      </c>
      <c r="O90" s="27" t="e">
        <f ca="1">DesiredRetirementIncome</f>
        <v>#N/A</v>
      </c>
      <c r="P90" s="27" t="e">
        <f ca="1">PensionIncome_Under</f>
        <v>#N/A</v>
      </c>
      <c r="Q90" s="27" t="e">
        <f ca="1">EndBalance</f>
        <v>#N/A</v>
      </c>
      <c r="T90" s="27" t="e">
        <f ca="1">Balance_Over</f>
        <v>#N/A</v>
      </c>
      <c r="U90" s="27" t="e">
        <f ca="1">Interest_Over</f>
        <v>#N/A</v>
      </c>
      <c r="V90" s="27" t="e">
        <f ca="1">YearlySavings_Over</f>
        <v>#N/A</v>
      </c>
      <c r="W90" s="27" t="e">
        <f ca="1">DesiredRetirementIncome</f>
        <v>#N/A</v>
      </c>
      <c r="X90" s="27" t="e">
        <f ca="1">PensionIncome_Over</f>
        <v>#N/A</v>
      </c>
      <c r="Y90" s="27" t="e">
        <f ca="1">EndBalance</f>
        <v>#N/A</v>
      </c>
      <c r="AB90" s="27" t="e">
        <f ca="1">IF(Calculations!B90&lt;DesiredRetirementAge,I90,NA())</f>
        <v>#N/A</v>
      </c>
      <c r="AC90" s="27" t="e">
        <f ca="1">IF(Calculations!B90&gt;=(DesiredRetirementAge-1),I90,NA())</f>
        <v>#N/A</v>
      </c>
      <c r="AD90" s="27"/>
      <c r="AF90" s="27" t="e">
        <f t="shared" ca="1" si="1"/>
        <v>#N/A</v>
      </c>
    </row>
    <row r="91" spans="2:32">
      <c r="B91" t="e">
        <f ca="1">Age</f>
        <v>#N/A</v>
      </c>
      <c r="C91" s="27" t="e">
        <f ca="1">Salary</f>
        <v>#N/A</v>
      </c>
      <c r="D91" s="27" t="e">
        <f ca="1">Balance</f>
        <v>#N/A</v>
      </c>
      <c r="E91" s="27" t="e">
        <f ca="1">Interest</f>
        <v>#N/A</v>
      </c>
      <c r="F91" s="27" t="e">
        <f ca="1">YearlySavings</f>
        <v>#N/A</v>
      </c>
      <c r="G91" s="27" t="e">
        <f ca="1">DesiredRetirementIncome</f>
        <v>#N/A</v>
      </c>
      <c r="H91" s="27" t="e">
        <f ca="1">PensionIncome</f>
        <v>#N/A</v>
      </c>
      <c r="I91" s="27" t="e">
        <f ca="1">EndBalance</f>
        <v>#N/A</v>
      </c>
      <c r="L91" s="27" t="e">
        <f ca="1">Balance_Under</f>
        <v>#N/A</v>
      </c>
      <c r="M91" s="27" t="e">
        <f ca="1">Interest_Under</f>
        <v>#N/A</v>
      </c>
      <c r="N91" s="27" t="e">
        <f ca="1">YearlySavings_Under</f>
        <v>#N/A</v>
      </c>
      <c r="O91" s="27" t="e">
        <f ca="1">DesiredRetirementIncome</f>
        <v>#N/A</v>
      </c>
      <c r="P91" s="27" t="e">
        <f ca="1">PensionIncome_Under</f>
        <v>#N/A</v>
      </c>
      <c r="Q91" s="27" t="e">
        <f ca="1">EndBalance</f>
        <v>#N/A</v>
      </c>
      <c r="T91" s="27" t="e">
        <f ca="1">Balance_Over</f>
        <v>#N/A</v>
      </c>
      <c r="U91" s="27" t="e">
        <f ca="1">Interest_Over</f>
        <v>#N/A</v>
      </c>
      <c r="V91" s="27" t="e">
        <f ca="1">YearlySavings_Over</f>
        <v>#N/A</v>
      </c>
      <c r="W91" s="27" t="e">
        <f ca="1">DesiredRetirementIncome</f>
        <v>#N/A</v>
      </c>
      <c r="X91" s="27" t="e">
        <f ca="1">PensionIncome_Over</f>
        <v>#N/A</v>
      </c>
      <c r="Y91" s="27" t="e">
        <f ca="1">EndBalance</f>
        <v>#N/A</v>
      </c>
      <c r="AB91" s="27" t="e">
        <f ca="1">IF(Calculations!B91&lt;DesiredRetirementAge,I91,NA())</f>
        <v>#N/A</v>
      </c>
      <c r="AC91" s="27" t="e">
        <f ca="1">IF(Calculations!B91&gt;=(DesiredRetirementAge-1),I91,NA())</f>
        <v>#N/A</v>
      </c>
      <c r="AD91" s="27"/>
      <c r="AF91" s="27" t="e">
        <f t="shared" ca="1" si="1"/>
        <v>#N/A</v>
      </c>
    </row>
    <row r="92" spans="2:32">
      <c r="B92" t="e">
        <f ca="1">Age</f>
        <v>#N/A</v>
      </c>
      <c r="C92" s="27" t="e">
        <f ca="1">Salary</f>
        <v>#N/A</v>
      </c>
      <c r="D92" s="27" t="e">
        <f ca="1">Balance</f>
        <v>#N/A</v>
      </c>
      <c r="E92" s="27" t="e">
        <f ca="1">Interest</f>
        <v>#N/A</v>
      </c>
      <c r="F92" s="27" t="e">
        <f ca="1">YearlySavings</f>
        <v>#N/A</v>
      </c>
      <c r="G92" s="27" t="e">
        <f ca="1">DesiredRetirementIncome</f>
        <v>#N/A</v>
      </c>
      <c r="H92" s="27" t="e">
        <f ca="1">PensionIncome</f>
        <v>#N/A</v>
      </c>
      <c r="I92" s="27" t="e">
        <f ca="1">EndBalance</f>
        <v>#N/A</v>
      </c>
      <c r="L92" s="27" t="e">
        <f ca="1">Balance_Under</f>
        <v>#N/A</v>
      </c>
      <c r="M92" s="27" t="e">
        <f ca="1">Interest_Under</f>
        <v>#N/A</v>
      </c>
      <c r="N92" s="27" t="e">
        <f ca="1">YearlySavings_Under</f>
        <v>#N/A</v>
      </c>
      <c r="O92" s="27" t="e">
        <f ca="1">DesiredRetirementIncome</f>
        <v>#N/A</v>
      </c>
      <c r="P92" s="27" t="e">
        <f ca="1">PensionIncome_Under</f>
        <v>#N/A</v>
      </c>
      <c r="Q92" s="27" t="e">
        <f ca="1">EndBalance</f>
        <v>#N/A</v>
      </c>
      <c r="T92" s="27" t="e">
        <f ca="1">Balance_Over</f>
        <v>#N/A</v>
      </c>
      <c r="U92" s="27" t="e">
        <f ca="1">Interest_Over</f>
        <v>#N/A</v>
      </c>
      <c r="V92" s="27" t="e">
        <f ca="1">YearlySavings_Over</f>
        <v>#N/A</v>
      </c>
      <c r="W92" s="27" t="e">
        <f ca="1">DesiredRetirementIncome</f>
        <v>#N/A</v>
      </c>
      <c r="X92" s="27" t="e">
        <f ca="1">PensionIncome_Over</f>
        <v>#N/A</v>
      </c>
      <c r="Y92" s="27" t="e">
        <f ca="1">EndBalance</f>
        <v>#N/A</v>
      </c>
      <c r="AB92" s="27" t="e">
        <f ca="1">IF(Calculations!B92&lt;DesiredRetirementAge,I92,NA())</f>
        <v>#N/A</v>
      </c>
      <c r="AC92" s="27" t="e">
        <f ca="1">IF(Calculations!B92&gt;=(DesiredRetirementAge-1),I92,NA())</f>
        <v>#N/A</v>
      </c>
      <c r="AD92" s="27"/>
      <c r="AF92" s="27" t="e">
        <f t="shared" ca="1" si="1"/>
        <v>#N/A</v>
      </c>
    </row>
    <row r="93" spans="2:32">
      <c r="B93" t="e">
        <f ca="1">Age</f>
        <v>#N/A</v>
      </c>
      <c r="C93" s="27" t="e">
        <f ca="1">Salary</f>
        <v>#N/A</v>
      </c>
      <c r="D93" s="27" t="e">
        <f ca="1">Balance</f>
        <v>#N/A</v>
      </c>
      <c r="E93" s="27" t="e">
        <f ca="1">Interest</f>
        <v>#N/A</v>
      </c>
      <c r="F93" s="27" t="e">
        <f ca="1">YearlySavings</f>
        <v>#N/A</v>
      </c>
      <c r="G93" s="27" t="e">
        <f ca="1">DesiredRetirementIncome</f>
        <v>#N/A</v>
      </c>
      <c r="H93" s="27" t="e">
        <f ca="1">PensionIncome</f>
        <v>#N/A</v>
      </c>
      <c r="I93" s="27" t="e">
        <f ca="1">EndBalance</f>
        <v>#N/A</v>
      </c>
      <c r="L93" s="27" t="e">
        <f ca="1">Balance_Under</f>
        <v>#N/A</v>
      </c>
      <c r="M93" s="27" t="e">
        <f ca="1">Interest_Under</f>
        <v>#N/A</v>
      </c>
      <c r="N93" s="27" t="e">
        <f ca="1">YearlySavings_Under</f>
        <v>#N/A</v>
      </c>
      <c r="O93" s="27" t="e">
        <f ca="1">DesiredRetirementIncome</f>
        <v>#N/A</v>
      </c>
      <c r="P93" s="27" t="e">
        <f ca="1">PensionIncome_Under</f>
        <v>#N/A</v>
      </c>
      <c r="Q93" s="27" t="e">
        <f ca="1">EndBalance</f>
        <v>#N/A</v>
      </c>
      <c r="T93" s="27" t="e">
        <f ca="1">Balance_Over</f>
        <v>#N/A</v>
      </c>
      <c r="U93" s="27" t="e">
        <f ca="1">Interest_Over</f>
        <v>#N/A</v>
      </c>
      <c r="V93" s="27" t="e">
        <f ca="1">YearlySavings_Over</f>
        <v>#N/A</v>
      </c>
      <c r="W93" s="27" t="e">
        <f ca="1">DesiredRetirementIncome</f>
        <v>#N/A</v>
      </c>
      <c r="X93" s="27" t="e">
        <f ca="1">PensionIncome_Over</f>
        <v>#N/A</v>
      </c>
      <c r="Y93" s="27" t="e">
        <f ca="1">EndBalance</f>
        <v>#N/A</v>
      </c>
      <c r="AB93" s="27" t="e">
        <f ca="1">IF(Calculations!B93&lt;DesiredRetirementAge,I93,NA())</f>
        <v>#N/A</v>
      </c>
      <c r="AC93" s="27" t="e">
        <f ca="1">IF(Calculations!B93&gt;=(DesiredRetirementAge-1),I93,NA())</f>
        <v>#N/A</v>
      </c>
      <c r="AD93" s="27"/>
      <c r="AF93" s="27" t="e">
        <f t="shared" ca="1" si="1"/>
        <v>#N/A</v>
      </c>
    </row>
    <row r="94" spans="2:32">
      <c r="B94" t="e">
        <f ca="1">Age</f>
        <v>#N/A</v>
      </c>
      <c r="C94" s="27" t="e">
        <f ca="1">Salary</f>
        <v>#N/A</v>
      </c>
      <c r="D94" s="27" t="e">
        <f ca="1">Balance</f>
        <v>#N/A</v>
      </c>
      <c r="E94" s="27" t="e">
        <f ca="1">Interest</f>
        <v>#N/A</v>
      </c>
      <c r="F94" s="27" t="e">
        <f ca="1">YearlySavings</f>
        <v>#N/A</v>
      </c>
      <c r="G94" s="27" t="e">
        <f ca="1">DesiredRetirementIncome</f>
        <v>#N/A</v>
      </c>
      <c r="H94" s="27" t="e">
        <f ca="1">PensionIncome</f>
        <v>#N/A</v>
      </c>
      <c r="I94" s="27" t="e">
        <f ca="1">EndBalance</f>
        <v>#N/A</v>
      </c>
      <c r="L94" s="27" t="e">
        <f ca="1">Balance_Under</f>
        <v>#N/A</v>
      </c>
      <c r="M94" s="27" t="e">
        <f ca="1">Interest_Under</f>
        <v>#N/A</v>
      </c>
      <c r="N94" s="27" t="e">
        <f ca="1">YearlySavings_Under</f>
        <v>#N/A</v>
      </c>
      <c r="O94" s="27" t="e">
        <f ca="1">DesiredRetirementIncome</f>
        <v>#N/A</v>
      </c>
      <c r="P94" s="27" t="e">
        <f ca="1">PensionIncome_Under</f>
        <v>#N/A</v>
      </c>
      <c r="Q94" s="27" t="e">
        <f ca="1">EndBalance</f>
        <v>#N/A</v>
      </c>
      <c r="T94" s="27" t="e">
        <f ca="1">Balance_Over</f>
        <v>#N/A</v>
      </c>
      <c r="U94" s="27" t="e">
        <f ca="1">Interest_Over</f>
        <v>#N/A</v>
      </c>
      <c r="V94" s="27" t="e">
        <f ca="1">YearlySavings_Over</f>
        <v>#N/A</v>
      </c>
      <c r="W94" s="27" t="e">
        <f ca="1">DesiredRetirementIncome</f>
        <v>#N/A</v>
      </c>
      <c r="X94" s="27" t="e">
        <f ca="1">PensionIncome_Over</f>
        <v>#N/A</v>
      </c>
      <c r="Y94" s="27" t="e">
        <f ca="1">EndBalance</f>
        <v>#N/A</v>
      </c>
      <c r="AB94" s="27" t="e">
        <f ca="1">IF(Calculations!B94&lt;DesiredRetirementAge,I94,NA())</f>
        <v>#N/A</v>
      </c>
      <c r="AC94" s="27" t="e">
        <f ca="1">IF(Calculations!B94&gt;=(DesiredRetirementAge-1),I94,NA())</f>
        <v>#N/A</v>
      </c>
      <c r="AD94" s="27"/>
      <c r="AF94" s="27" t="e">
        <f t="shared" ca="1" si="1"/>
        <v>#N/A</v>
      </c>
    </row>
    <row r="95" spans="2:32">
      <c r="B95" t="e">
        <f ca="1">Age</f>
        <v>#N/A</v>
      </c>
      <c r="C95" s="27" t="e">
        <f ca="1">Salary</f>
        <v>#N/A</v>
      </c>
      <c r="D95" s="27" t="e">
        <f ca="1">Balance</f>
        <v>#N/A</v>
      </c>
      <c r="E95" s="27" t="e">
        <f ca="1">Interest</f>
        <v>#N/A</v>
      </c>
      <c r="F95" s="27" t="e">
        <f ca="1">YearlySavings</f>
        <v>#N/A</v>
      </c>
      <c r="G95" s="27" t="e">
        <f ca="1">DesiredRetirementIncome</f>
        <v>#N/A</v>
      </c>
      <c r="H95" s="27" t="e">
        <f ca="1">PensionIncome</f>
        <v>#N/A</v>
      </c>
      <c r="I95" s="27" t="e">
        <f ca="1">EndBalance</f>
        <v>#N/A</v>
      </c>
      <c r="L95" s="27" t="e">
        <f ca="1">Balance_Under</f>
        <v>#N/A</v>
      </c>
      <c r="M95" s="27" t="e">
        <f ca="1">Interest_Under</f>
        <v>#N/A</v>
      </c>
      <c r="N95" s="27" t="e">
        <f ca="1">YearlySavings_Under</f>
        <v>#N/A</v>
      </c>
      <c r="O95" s="27" t="e">
        <f ca="1">DesiredRetirementIncome</f>
        <v>#N/A</v>
      </c>
      <c r="P95" s="27" t="e">
        <f ca="1">PensionIncome_Under</f>
        <v>#N/A</v>
      </c>
      <c r="Q95" s="27" t="e">
        <f ca="1">EndBalance</f>
        <v>#N/A</v>
      </c>
      <c r="T95" s="27" t="e">
        <f ca="1">Balance_Over</f>
        <v>#N/A</v>
      </c>
      <c r="U95" s="27" t="e">
        <f ca="1">Interest_Over</f>
        <v>#N/A</v>
      </c>
      <c r="V95" s="27" t="e">
        <f ca="1">YearlySavings_Over</f>
        <v>#N/A</v>
      </c>
      <c r="W95" s="27" t="e">
        <f ca="1">DesiredRetirementIncome</f>
        <v>#N/A</v>
      </c>
      <c r="X95" s="27" t="e">
        <f ca="1">PensionIncome_Over</f>
        <v>#N/A</v>
      </c>
      <c r="Y95" s="27" t="e">
        <f ca="1">EndBalance</f>
        <v>#N/A</v>
      </c>
      <c r="AB95" s="27" t="e">
        <f ca="1">IF(Calculations!B95&lt;DesiredRetirementAge,I95,NA())</f>
        <v>#N/A</v>
      </c>
      <c r="AC95" s="27" t="e">
        <f ca="1">IF(Calculations!B95&gt;=(DesiredRetirementAge-1),I95,NA())</f>
        <v>#N/A</v>
      </c>
      <c r="AD95" s="27"/>
      <c r="AF95" s="27" t="e">
        <f t="shared" ca="1" si="1"/>
        <v>#N/A</v>
      </c>
    </row>
    <row r="96" spans="2:32">
      <c r="B96" t="e">
        <f ca="1">Age</f>
        <v>#N/A</v>
      </c>
      <c r="C96" s="27" t="e">
        <f ca="1">Salary</f>
        <v>#N/A</v>
      </c>
      <c r="D96" s="27" t="e">
        <f ca="1">Balance</f>
        <v>#N/A</v>
      </c>
      <c r="E96" s="27" t="e">
        <f ca="1">Interest</f>
        <v>#N/A</v>
      </c>
      <c r="F96" s="27" t="e">
        <f ca="1">YearlySavings</f>
        <v>#N/A</v>
      </c>
      <c r="G96" s="27" t="e">
        <f ca="1">DesiredRetirementIncome</f>
        <v>#N/A</v>
      </c>
      <c r="H96" s="27" t="e">
        <f ca="1">PensionIncome</f>
        <v>#N/A</v>
      </c>
      <c r="I96" s="27" t="e">
        <f ca="1">EndBalance</f>
        <v>#N/A</v>
      </c>
      <c r="L96" s="27" t="e">
        <f ca="1">Balance_Under</f>
        <v>#N/A</v>
      </c>
      <c r="M96" s="27" t="e">
        <f ca="1">Interest_Under</f>
        <v>#N/A</v>
      </c>
      <c r="N96" s="27" t="e">
        <f ca="1">YearlySavings_Under</f>
        <v>#N/A</v>
      </c>
      <c r="O96" s="27" t="e">
        <f ca="1">DesiredRetirementIncome</f>
        <v>#N/A</v>
      </c>
      <c r="P96" s="27" t="e">
        <f ca="1">PensionIncome_Under</f>
        <v>#N/A</v>
      </c>
      <c r="Q96" s="27" t="e">
        <f ca="1">EndBalance</f>
        <v>#N/A</v>
      </c>
      <c r="T96" s="27" t="e">
        <f ca="1">Balance_Over</f>
        <v>#N/A</v>
      </c>
      <c r="U96" s="27" t="e">
        <f ca="1">Interest_Over</f>
        <v>#N/A</v>
      </c>
      <c r="V96" s="27" t="e">
        <f ca="1">YearlySavings_Over</f>
        <v>#N/A</v>
      </c>
      <c r="W96" s="27" t="e">
        <f ca="1">DesiredRetirementIncome</f>
        <v>#N/A</v>
      </c>
      <c r="X96" s="27" t="e">
        <f ca="1">PensionIncome_Over</f>
        <v>#N/A</v>
      </c>
      <c r="Y96" s="27" t="e">
        <f ca="1">EndBalance</f>
        <v>#N/A</v>
      </c>
      <c r="AB96" s="27" t="e">
        <f ca="1">IF(Calculations!B96&lt;DesiredRetirementAge,I96,NA())</f>
        <v>#N/A</v>
      </c>
      <c r="AC96" s="27" t="e">
        <f ca="1">IF(Calculations!B96&gt;=(DesiredRetirementAge-1),I96,NA())</f>
        <v>#N/A</v>
      </c>
      <c r="AD96" s="27"/>
      <c r="AF96" s="27" t="e">
        <f t="shared" ca="1" si="1"/>
        <v>#N/A</v>
      </c>
    </row>
    <row r="97" spans="2:32">
      <c r="B97" t="e">
        <f ca="1">Age</f>
        <v>#N/A</v>
      </c>
      <c r="C97" s="27" t="e">
        <f ca="1">Salary</f>
        <v>#N/A</v>
      </c>
      <c r="D97" s="27" t="e">
        <f ca="1">Balance</f>
        <v>#N/A</v>
      </c>
      <c r="E97" s="27" t="e">
        <f ca="1">Interest</f>
        <v>#N/A</v>
      </c>
      <c r="F97" s="27" t="e">
        <f ca="1">YearlySavings</f>
        <v>#N/A</v>
      </c>
      <c r="G97" s="27" t="e">
        <f ca="1">DesiredRetirementIncome</f>
        <v>#N/A</v>
      </c>
      <c r="H97" s="27" t="e">
        <f ca="1">PensionIncome</f>
        <v>#N/A</v>
      </c>
      <c r="I97" s="27" t="e">
        <f ca="1">EndBalance</f>
        <v>#N/A</v>
      </c>
      <c r="L97" s="27" t="e">
        <f ca="1">Balance_Under</f>
        <v>#N/A</v>
      </c>
      <c r="M97" s="27" t="e">
        <f ca="1">Interest_Under</f>
        <v>#N/A</v>
      </c>
      <c r="N97" s="27" t="e">
        <f ca="1">YearlySavings_Under</f>
        <v>#N/A</v>
      </c>
      <c r="O97" s="27" t="e">
        <f ca="1">DesiredRetirementIncome</f>
        <v>#N/A</v>
      </c>
      <c r="P97" s="27" t="e">
        <f ca="1">PensionIncome_Under</f>
        <v>#N/A</v>
      </c>
      <c r="Q97" s="27" t="e">
        <f ca="1">EndBalance</f>
        <v>#N/A</v>
      </c>
      <c r="T97" s="27" t="e">
        <f ca="1">Balance_Over</f>
        <v>#N/A</v>
      </c>
      <c r="U97" s="27" t="e">
        <f ca="1">Interest_Over</f>
        <v>#N/A</v>
      </c>
      <c r="V97" s="27" t="e">
        <f ca="1">YearlySavings_Over</f>
        <v>#N/A</v>
      </c>
      <c r="W97" s="27" t="e">
        <f ca="1">DesiredRetirementIncome</f>
        <v>#N/A</v>
      </c>
      <c r="X97" s="27" t="e">
        <f ca="1">PensionIncome_Over</f>
        <v>#N/A</v>
      </c>
      <c r="Y97" s="27" t="e">
        <f ca="1">EndBalance</f>
        <v>#N/A</v>
      </c>
      <c r="AB97" s="27" t="e">
        <f ca="1">IF(Calculations!B97&lt;DesiredRetirementAge,I97,NA())</f>
        <v>#N/A</v>
      </c>
      <c r="AC97" s="27" t="e">
        <f ca="1">IF(Calculations!B97&gt;=(DesiredRetirementAge-1),I97,NA())</f>
        <v>#N/A</v>
      </c>
      <c r="AD97" s="27"/>
      <c r="AF97" s="27" t="e">
        <f t="shared" ca="1" si="1"/>
        <v>#N/A</v>
      </c>
    </row>
    <row r="98" spans="2:32">
      <c r="B98" t="e">
        <f ca="1">Age</f>
        <v>#N/A</v>
      </c>
      <c r="C98" s="27" t="e">
        <f ca="1">Salary</f>
        <v>#N/A</v>
      </c>
      <c r="D98" s="27" t="e">
        <f ca="1">Balance</f>
        <v>#N/A</v>
      </c>
      <c r="E98" s="27" t="e">
        <f ca="1">Interest</f>
        <v>#N/A</v>
      </c>
      <c r="F98" s="27" t="e">
        <f ca="1">YearlySavings</f>
        <v>#N/A</v>
      </c>
      <c r="G98" s="27" t="e">
        <f ca="1">DesiredRetirementIncome</f>
        <v>#N/A</v>
      </c>
      <c r="H98" s="27" t="e">
        <f ca="1">PensionIncome</f>
        <v>#N/A</v>
      </c>
      <c r="I98" s="27" t="e">
        <f ca="1">EndBalance</f>
        <v>#N/A</v>
      </c>
      <c r="L98" s="27" t="e">
        <f ca="1">Balance_Under</f>
        <v>#N/A</v>
      </c>
      <c r="M98" s="27" t="e">
        <f ca="1">Interest_Under</f>
        <v>#N/A</v>
      </c>
      <c r="N98" s="27" t="e">
        <f ca="1">YearlySavings_Under</f>
        <v>#N/A</v>
      </c>
      <c r="O98" s="27" t="e">
        <f ca="1">DesiredRetirementIncome</f>
        <v>#N/A</v>
      </c>
      <c r="P98" s="27" t="e">
        <f ca="1">PensionIncome_Under</f>
        <v>#N/A</v>
      </c>
      <c r="Q98" s="27" t="e">
        <f ca="1">EndBalance</f>
        <v>#N/A</v>
      </c>
      <c r="T98" s="27" t="e">
        <f ca="1">Balance_Over</f>
        <v>#N/A</v>
      </c>
      <c r="U98" s="27" t="e">
        <f ca="1">Interest_Over</f>
        <v>#N/A</v>
      </c>
      <c r="V98" s="27" t="e">
        <f ca="1">YearlySavings_Over</f>
        <v>#N/A</v>
      </c>
      <c r="W98" s="27" t="e">
        <f ca="1">DesiredRetirementIncome</f>
        <v>#N/A</v>
      </c>
      <c r="X98" s="27" t="e">
        <f ca="1">PensionIncome_Over</f>
        <v>#N/A</v>
      </c>
      <c r="Y98" s="27" t="e">
        <f ca="1">EndBalance</f>
        <v>#N/A</v>
      </c>
      <c r="AB98" s="27" t="e">
        <f ca="1">IF(Calculations!B98&lt;DesiredRetirementAge,I98,NA())</f>
        <v>#N/A</v>
      </c>
      <c r="AC98" s="27" t="e">
        <f ca="1">IF(Calculations!B98&gt;=(DesiredRetirementAge-1),I98,NA())</f>
        <v>#N/A</v>
      </c>
      <c r="AD98" s="27"/>
      <c r="AF98" s="27" t="e">
        <f t="shared" ca="1" si="1"/>
        <v>#N/A</v>
      </c>
    </row>
    <row r="99" spans="2:32">
      <c r="B99" t="e">
        <f ca="1">Age</f>
        <v>#N/A</v>
      </c>
      <c r="C99" s="27" t="e">
        <f ca="1">Salary</f>
        <v>#N/A</v>
      </c>
      <c r="D99" s="27" t="e">
        <f ca="1">Balance</f>
        <v>#N/A</v>
      </c>
      <c r="E99" s="27" t="e">
        <f ca="1">Interest</f>
        <v>#N/A</v>
      </c>
      <c r="F99" s="27" t="e">
        <f ca="1">YearlySavings</f>
        <v>#N/A</v>
      </c>
      <c r="G99" s="27" t="e">
        <f ca="1">DesiredRetirementIncome</f>
        <v>#N/A</v>
      </c>
      <c r="H99" s="27" t="e">
        <f ca="1">PensionIncome</f>
        <v>#N/A</v>
      </c>
      <c r="I99" s="27" t="e">
        <f ca="1">EndBalance</f>
        <v>#N/A</v>
      </c>
      <c r="L99" s="27" t="e">
        <f ca="1">Balance_Under</f>
        <v>#N/A</v>
      </c>
      <c r="M99" s="27" t="e">
        <f ca="1">Interest_Under</f>
        <v>#N/A</v>
      </c>
      <c r="N99" s="27" t="e">
        <f ca="1">YearlySavings_Under</f>
        <v>#N/A</v>
      </c>
      <c r="O99" s="27" t="e">
        <f ca="1">DesiredRetirementIncome</f>
        <v>#N/A</v>
      </c>
      <c r="P99" s="27" t="e">
        <f ca="1">PensionIncome_Under</f>
        <v>#N/A</v>
      </c>
      <c r="Q99" s="27" t="e">
        <f ca="1">EndBalance</f>
        <v>#N/A</v>
      </c>
      <c r="T99" s="27" t="e">
        <f ca="1">Balance_Over</f>
        <v>#N/A</v>
      </c>
      <c r="U99" s="27" t="e">
        <f ca="1">Interest_Over</f>
        <v>#N/A</v>
      </c>
      <c r="V99" s="27" t="e">
        <f ca="1">YearlySavings_Over</f>
        <v>#N/A</v>
      </c>
      <c r="W99" s="27" t="e">
        <f ca="1">DesiredRetirementIncome</f>
        <v>#N/A</v>
      </c>
      <c r="X99" s="27" t="e">
        <f ca="1">PensionIncome_Over</f>
        <v>#N/A</v>
      </c>
      <c r="Y99" s="27" t="e">
        <f ca="1">EndBalance</f>
        <v>#N/A</v>
      </c>
      <c r="AB99" s="27" t="e">
        <f ca="1">IF(Calculations!B99&lt;DesiredRetirementAge,I99,NA())</f>
        <v>#N/A</v>
      </c>
      <c r="AC99" s="27" t="e">
        <f ca="1">IF(Calculations!B99&gt;=(DesiredRetirementAge-1),I99,NA())</f>
        <v>#N/A</v>
      </c>
      <c r="AD99" s="27"/>
      <c r="AF99" s="27" t="e">
        <f t="shared" ca="1" si="1"/>
        <v>#N/A</v>
      </c>
    </row>
    <row r="100" spans="2:32">
      <c r="B100" t="e">
        <f ca="1">Age</f>
        <v>#N/A</v>
      </c>
      <c r="C100" s="27" t="e">
        <f ca="1">Salary</f>
        <v>#N/A</v>
      </c>
      <c r="D100" s="27" t="e">
        <f ca="1">Balance</f>
        <v>#N/A</v>
      </c>
      <c r="E100" s="27" t="e">
        <f ca="1">Interest</f>
        <v>#N/A</v>
      </c>
      <c r="F100" s="27" t="e">
        <f ca="1">YearlySavings</f>
        <v>#N/A</v>
      </c>
      <c r="G100" s="27" t="e">
        <f ca="1">DesiredRetirementIncome</f>
        <v>#N/A</v>
      </c>
      <c r="H100" s="27" t="e">
        <f ca="1">PensionIncome</f>
        <v>#N/A</v>
      </c>
      <c r="I100" s="27" t="e">
        <f ca="1">EndBalance</f>
        <v>#N/A</v>
      </c>
      <c r="L100" s="27" t="e">
        <f ca="1">Balance_Under</f>
        <v>#N/A</v>
      </c>
      <c r="M100" s="27" t="e">
        <f ca="1">Interest_Under</f>
        <v>#N/A</v>
      </c>
      <c r="N100" s="27" t="e">
        <f ca="1">YearlySavings_Under</f>
        <v>#N/A</v>
      </c>
      <c r="O100" s="27" t="e">
        <f ca="1">DesiredRetirementIncome</f>
        <v>#N/A</v>
      </c>
      <c r="P100" s="27" t="e">
        <f ca="1">PensionIncome_Under</f>
        <v>#N/A</v>
      </c>
      <c r="Q100" s="27" t="e">
        <f ca="1">EndBalance</f>
        <v>#N/A</v>
      </c>
      <c r="T100" s="27" t="e">
        <f ca="1">Balance_Over</f>
        <v>#N/A</v>
      </c>
      <c r="U100" s="27" t="e">
        <f ca="1">Interest_Over</f>
        <v>#N/A</v>
      </c>
      <c r="V100" s="27" t="e">
        <f ca="1">YearlySavings_Over</f>
        <v>#N/A</v>
      </c>
      <c r="W100" s="27" t="e">
        <f ca="1">DesiredRetirementIncome</f>
        <v>#N/A</v>
      </c>
      <c r="X100" s="27" t="e">
        <f ca="1">PensionIncome_Over</f>
        <v>#N/A</v>
      </c>
      <c r="Y100" s="27" t="e">
        <f ca="1">EndBalance</f>
        <v>#N/A</v>
      </c>
      <c r="AB100" s="27" t="e">
        <f ca="1">IF(Calculations!B100&lt;DesiredRetirementAge,I100,NA())</f>
        <v>#N/A</v>
      </c>
      <c r="AC100" s="27" t="e">
        <f ca="1">IF(Calculations!B100&gt;=(DesiredRetirementAge-1),I100,NA())</f>
        <v>#N/A</v>
      </c>
      <c r="AD100" s="27"/>
      <c r="AF100" s="27" t="e">
        <f t="shared" ca="1" si="1"/>
        <v>#N/A</v>
      </c>
    </row>
    <row r="101" spans="2:32">
      <c r="B101" t="e">
        <f ca="1">Age</f>
        <v>#N/A</v>
      </c>
      <c r="C101" s="27" t="e">
        <f ca="1">Salary</f>
        <v>#N/A</v>
      </c>
      <c r="D101" s="27" t="e">
        <f ca="1">Balance</f>
        <v>#N/A</v>
      </c>
      <c r="E101" s="27" t="e">
        <f ca="1">Interest</f>
        <v>#N/A</v>
      </c>
      <c r="F101" s="27" t="e">
        <f ca="1">YearlySavings</f>
        <v>#N/A</v>
      </c>
      <c r="G101" s="27" t="e">
        <f ca="1">DesiredRetirementIncome</f>
        <v>#N/A</v>
      </c>
      <c r="H101" s="27" t="e">
        <f ca="1">PensionIncome</f>
        <v>#N/A</v>
      </c>
      <c r="I101" s="27" t="e">
        <f ca="1">EndBalance</f>
        <v>#N/A</v>
      </c>
      <c r="L101" s="27" t="e">
        <f ca="1">Balance_Under</f>
        <v>#N/A</v>
      </c>
      <c r="M101" s="27" t="e">
        <f ca="1">Interest_Under</f>
        <v>#N/A</v>
      </c>
      <c r="N101" s="27" t="e">
        <f ca="1">YearlySavings_Under</f>
        <v>#N/A</v>
      </c>
      <c r="O101" s="27" t="e">
        <f ca="1">DesiredRetirementIncome</f>
        <v>#N/A</v>
      </c>
      <c r="P101" s="27" t="e">
        <f ca="1">PensionIncome_Under</f>
        <v>#N/A</v>
      </c>
      <c r="Q101" s="27" t="e">
        <f ca="1">EndBalance</f>
        <v>#N/A</v>
      </c>
      <c r="T101" s="27" t="e">
        <f ca="1">Balance_Over</f>
        <v>#N/A</v>
      </c>
      <c r="U101" s="27" t="e">
        <f ca="1">Interest_Over</f>
        <v>#N/A</v>
      </c>
      <c r="V101" s="27" t="e">
        <f ca="1">YearlySavings_Over</f>
        <v>#N/A</v>
      </c>
      <c r="W101" s="27" t="e">
        <f ca="1">DesiredRetirementIncome</f>
        <v>#N/A</v>
      </c>
      <c r="X101" s="27" t="e">
        <f ca="1">PensionIncome_Over</f>
        <v>#N/A</v>
      </c>
      <c r="Y101" s="27" t="e">
        <f ca="1">EndBalance</f>
        <v>#N/A</v>
      </c>
      <c r="AB101" s="27" t="e">
        <f ca="1">IF(Calculations!B101&lt;DesiredRetirementAge,I101,NA())</f>
        <v>#N/A</v>
      </c>
      <c r="AC101" s="27" t="e">
        <f ca="1">IF(Calculations!B101&gt;=(DesiredRetirementAge-1),I101,NA())</f>
        <v>#N/A</v>
      </c>
      <c r="AD101" s="27"/>
      <c r="AF101" s="27" t="e">
        <f t="shared" ca="1" si="1"/>
        <v>#N/A</v>
      </c>
    </row>
    <row r="102" spans="2:32">
      <c r="B102" t="e">
        <f ca="1">Age</f>
        <v>#N/A</v>
      </c>
      <c r="C102" s="27" t="e">
        <f ca="1">Salary</f>
        <v>#N/A</v>
      </c>
      <c r="D102" s="27" t="e">
        <f ca="1">Balance</f>
        <v>#N/A</v>
      </c>
      <c r="E102" s="27" t="e">
        <f ca="1">Interest</f>
        <v>#N/A</v>
      </c>
      <c r="F102" s="27" t="e">
        <f ca="1">YearlySavings</f>
        <v>#N/A</v>
      </c>
      <c r="G102" s="27" t="e">
        <f ca="1">DesiredRetirementIncome</f>
        <v>#N/A</v>
      </c>
      <c r="H102" s="27" t="e">
        <f ca="1">PensionIncome</f>
        <v>#N/A</v>
      </c>
      <c r="I102" s="27" t="e">
        <f ca="1">EndBalance</f>
        <v>#N/A</v>
      </c>
      <c r="L102" s="27" t="e">
        <f ca="1">Balance_Under</f>
        <v>#N/A</v>
      </c>
      <c r="M102" s="27" t="e">
        <f ca="1">Interest_Under</f>
        <v>#N/A</v>
      </c>
      <c r="N102" s="27" t="e">
        <f ca="1">YearlySavings_Under</f>
        <v>#N/A</v>
      </c>
      <c r="O102" s="27" t="e">
        <f ca="1">DesiredRetirementIncome</f>
        <v>#N/A</v>
      </c>
      <c r="P102" s="27" t="e">
        <f ca="1">PensionIncome_Under</f>
        <v>#N/A</v>
      </c>
      <c r="Q102" s="27" t="e">
        <f ca="1">EndBalance</f>
        <v>#N/A</v>
      </c>
      <c r="T102" s="27" t="e">
        <f ca="1">Balance_Over</f>
        <v>#N/A</v>
      </c>
      <c r="U102" s="27" t="e">
        <f ca="1">Interest_Over</f>
        <v>#N/A</v>
      </c>
      <c r="V102" s="27" t="e">
        <f ca="1">YearlySavings_Over</f>
        <v>#N/A</v>
      </c>
      <c r="W102" s="27" t="e">
        <f ca="1">DesiredRetirementIncome</f>
        <v>#N/A</v>
      </c>
      <c r="X102" s="27" t="e">
        <f ca="1">PensionIncome_Over</f>
        <v>#N/A</v>
      </c>
      <c r="Y102" s="27" t="e">
        <f ca="1">EndBalance</f>
        <v>#N/A</v>
      </c>
      <c r="AB102" s="27" t="e">
        <f ca="1">IF(Calculations!B102&lt;DesiredRetirementAge,I102,NA())</f>
        <v>#N/A</v>
      </c>
      <c r="AC102" s="27" t="e">
        <f ca="1">IF(Calculations!B102&gt;=(DesiredRetirementAge-1),I102,NA())</f>
        <v>#N/A</v>
      </c>
      <c r="AD102" s="27"/>
      <c r="AF102" s="27" t="e">
        <f t="shared" ca="1" si="1"/>
        <v>#N/A</v>
      </c>
    </row>
    <row r="103" spans="2:32">
      <c r="B103" t="e">
        <f ca="1">Age</f>
        <v>#N/A</v>
      </c>
      <c r="C103" s="27" t="e">
        <f ca="1">Salary</f>
        <v>#N/A</v>
      </c>
      <c r="D103" s="27" t="e">
        <f ca="1">Balance</f>
        <v>#N/A</v>
      </c>
      <c r="E103" s="27" t="e">
        <f ca="1">Interest</f>
        <v>#N/A</v>
      </c>
      <c r="F103" s="27" t="e">
        <f ca="1">YearlySavings</f>
        <v>#N/A</v>
      </c>
      <c r="G103" s="27" t="e">
        <f ca="1">DesiredRetirementIncome</f>
        <v>#N/A</v>
      </c>
      <c r="H103" s="27" t="e">
        <f ca="1">PensionIncome</f>
        <v>#N/A</v>
      </c>
      <c r="I103" s="27" t="e">
        <f ca="1">EndBalance</f>
        <v>#N/A</v>
      </c>
      <c r="L103" s="27" t="e">
        <f ca="1">Balance_Under</f>
        <v>#N/A</v>
      </c>
      <c r="M103" s="27" t="e">
        <f ca="1">Interest_Under</f>
        <v>#N/A</v>
      </c>
      <c r="N103" s="27" t="e">
        <f ca="1">YearlySavings_Under</f>
        <v>#N/A</v>
      </c>
      <c r="O103" s="27" t="e">
        <f ca="1">DesiredRetirementIncome</f>
        <v>#N/A</v>
      </c>
      <c r="P103" s="27" t="e">
        <f ca="1">PensionIncome_Under</f>
        <v>#N/A</v>
      </c>
      <c r="Q103" s="27" t="e">
        <f ca="1">EndBalance</f>
        <v>#N/A</v>
      </c>
      <c r="T103" s="27" t="e">
        <f ca="1">Balance_Over</f>
        <v>#N/A</v>
      </c>
      <c r="U103" s="27" t="e">
        <f ca="1">Interest_Over</f>
        <v>#N/A</v>
      </c>
      <c r="V103" s="27" t="e">
        <f ca="1">YearlySavings_Over</f>
        <v>#N/A</v>
      </c>
      <c r="W103" s="27" t="e">
        <f ca="1">DesiredRetirementIncome</f>
        <v>#N/A</v>
      </c>
      <c r="X103" s="27" t="e">
        <f ca="1">PensionIncome_Over</f>
        <v>#N/A</v>
      </c>
      <c r="Y103" s="27" t="e">
        <f ca="1">EndBalance</f>
        <v>#N/A</v>
      </c>
      <c r="AB103" s="27" t="e">
        <f ca="1">IF(Calculations!B103&lt;DesiredRetirementAge,I103,NA())</f>
        <v>#N/A</v>
      </c>
      <c r="AC103" s="27" t="e">
        <f ca="1">IF(Calculations!B103&gt;=(DesiredRetirementAge-1),I103,NA())</f>
        <v>#N/A</v>
      </c>
      <c r="AD103" s="27"/>
      <c r="AF103" s="27" t="e">
        <f t="shared" ca="1" si="1"/>
        <v>#N/A</v>
      </c>
    </row>
    <row r="104" spans="2:32">
      <c r="B104" t="e">
        <f ca="1">Age</f>
        <v>#N/A</v>
      </c>
      <c r="C104" s="27" t="e">
        <f ca="1">Salary</f>
        <v>#N/A</v>
      </c>
      <c r="D104" s="27" t="e">
        <f ca="1">Balance</f>
        <v>#N/A</v>
      </c>
      <c r="E104" s="27" t="e">
        <f ca="1">Interest</f>
        <v>#N/A</v>
      </c>
      <c r="F104" s="27" t="e">
        <f ca="1">YearlySavings</f>
        <v>#N/A</v>
      </c>
      <c r="G104" s="27" t="e">
        <f ca="1">DesiredRetirementIncome</f>
        <v>#N/A</v>
      </c>
      <c r="H104" s="27" t="e">
        <f ca="1">PensionIncome</f>
        <v>#N/A</v>
      </c>
      <c r="I104" s="27" t="e">
        <f ca="1">EndBalance</f>
        <v>#N/A</v>
      </c>
      <c r="L104" s="27" t="e">
        <f ca="1">Balance_Under</f>
        <v>#N/A</v>
      </c>
      <c r="M104" s="27" t="e">
        <f ca="1">Interest_Under</f>
        <v>#N/A</v>
      </c>
      <c r="N104" s="27" t="e">
        <f ca="1">YearlySavings_Under</f>
        <v>#N/A</v>
      </c>
      <c r="O104" s="27" t="e">
        <f ca="1">DesiredRetirementIncome</f>
        <v>#N/A</v>
      </c>
      <c r="P104" s="27" t="e">
        <f ca="1">PensionIncome_Under</f>
        <v>#N/A</v>
      </c>
      <c r="Q104" s="27" t="e">
        <f ca="1">EndBalance</f>
        <v>#N/A</v>
      </c>
      <c r="T104" s="27" t="e">
        <f ca="1">Balance_Over</f>
        <v>#N/A</v>
      </c>
      <c r="U104" s="27" t="e">
        <f ca="1">Interest_Over</f>
        <v>#N/A</v>
      </c>
      <c r="V104" s="27" t="e">
        <f ca="1">YearlySavings_Over</f>
        <v>#N/A</v>
      </c>
      <c r="W104" s="27" t="e">
        <f ca="1">DesiredRetirementIncome</f>
        <v>#N/A</v>
      </c>
      <c r="X104" s="27" t="e">
        <f ca="1">PensionIncome_Over</f>
        <v>#N/A</v>
      </c>
      <c r="Y104" s="27" t="e">
        <f ca="1">EndBalance</f>
        <v>#N/A</v>
      </c>
      <c r="AB104" s="27" t="e">
        <f ca="1">IF(Calculations!B104&lt;DesiredRetirementAge,I104,NA())</f>
        <v>#N/A</v>
      </c>
      <c r="AC104" s="27" t="e">
        <f ca="1">IF(Calculations!B104&gt;=(DesiredRetirementAge-1),I104,NA())</f>
        <v>#N/A</v>
      </c>
      <c r="AD104" s="27"/>
      <c r="AF104" s="27" t="e">
        <f t="shared" ca="1" si="1"/>
        <v>#N/A</v>
      </c>
    </row>
    <row r="105" spans="2:32">
      <c r="B105" t="e">
        <f ca="1">Age</f>
        <v>#N/A</v>
      </c>
      <c r="C105" s="27" t="e">
        <f ca="1">Salary</f>
        <v>#N/A</v>
      </c>
      <c r="D105" s="27" t="e">
        <f ca="1">Balance</f>
        <v>#N/A</v>
      </c>
      <c r="E105" s="27" t="e">
        <f ca="1">Interest</f>
        <v>#N/A</v>
      </c>
      <c r="F105" s="27" t="e">
        <f ca="1">YearlySavings</f>
        <v>#N/A</v>
      </c>
      <c r="G105" s="27" t="e">
        <f ca="1">DesiredRetirementIncome</f>
        <v>#N/A</v>
      </c>
      <c r="H105" s="27" t="e">
        <f ca="1">PensionIncome</f>
        <v>#N/A</v>
      </c>
      <c r="I105" s="27" t="e">
        <f ca="1">EndBalance</f>
        <v>#N/A</v>
      </c>
      <c r="L105" s="27" t="e">
        <f ca="1">Balance_Under</f>
        <v>#N/A</v>
      </c>
      <c r="M105" s="27" t="e">
        <f ca="1">Interest_Under</f>
        <v>#N/A</v>
      </c>
      <c r="N105" s="27" t="e">
        <f ca="1">YearlySavings_Under</f>
        <v>#N/A</v>
      </c>
      <c r="O105" s="27" t="e">
        <f ca="1">DesiredRetirementIncome</f>
        <v>#N/A</v>
      </c>
      <c r="P105" s="27" t="e">
        <f ca="1">PensionIncome_Under</f>
        <v>#N/A</v>
      </c>
      <c r="Q105" s="27" t="e">
        <f ca="1">EndBalance</f>
        <v>#N/A</v>
      </c>
      <c r="T105" s="27" t="e">
        <f ca="1">Balance_Over</f>
        <v>#N/A</v>
      </c>
      <c r="U105" s="27" t="e">
        <f ca="1">Interest_Over</f>
        <v>#N/A</v>
      </c>
      <c r="V105" s="27" t="e">
        <f ca="1">YearlySavings_Over</f>
        <v>#N/A</v>
      </c>
      <c r="W105" s="27" t="e">
        <f ca="1">DesiredRetirementIncome</f>
        <v>#N/A</v>
      </c>
      <c r="X105" s="27" t="e">
        <f ca="1">PensionIncome_Over</f>
        <v>#N/A</v>
      </c>
      <c r="Y105" s="27" t="e">
        <f ca="1">EndBalance</f>
        <v>#N/A</v>
      </c>
      <c r="AB105" s="27" t="e">
        <f ca="1">IF(Calculations!B105&lt;DesiredRetirementAge,I105,NA())</f>
        <v>#N/A</v>
      </c>
      <c r="AC105" s="27" t="e">
        <f ca="1">IF(Calculations!B105&gt;=(DesiredRetirementAge-1),I105,NA())</f>
        <v>#N/A</v>
      </c>
      <c r="AD105" s="27"/>
      <c r="AF105" s="27" t="e">
        <f t="shared" ca="1" si="1"/>
        <v>#N/A</v>
      </c>
    </row>
    <row r="106" spans="2:32">
      <c r="B106" t="e">
        <f ca="1">Age</f>
        <v>#N/A</v>
      </c>
      <c r="C106" s="27" t="e">
        <f ca="1">Salary</f>
        <v>#N/A</v>
      </c>
      <c r="D106" s="27" t="e">
        <f ca="1">Balance</f>
        <v>#N/A</v>
      </c>
      <c r="E106" s="27" t="e">
        <f ca="1">Interest</f>
        <v>#N/A</v>
      </c>
      <c r="F106" s="27" t="e">
        <f ca="1">YearlySavings</f>
        <v>#N/A</v>
      </c>
      <c r="G106" s="27" t="e">
        <f ca="1">DesiredRetirementIncome</f>
        <v>#N/A</v>
      </c>
      <c r="H106" s="27" t="e">
        <f ca="1">PensionIncome</f>
        <v>#N/A</v>
      </c>
      <c r="I106" s="27" t="e">
        <f ca="1">EndBalance</f>
        <v>#N/A</v>
      </c>
      <c r="L106" s="27" t="e">
        <f ca="1">Balance_Under</f>
        <v>#N/A</v>
      </c>
      <c r="M106" s="27" t="e">
        <f ca="1">Interest_Under</f>
        <v>#N/A</v>
      </c>
      <c r="N106" s="27" t="e">
        <f ca="1">YearlySavings_Under</f>
        <v>#N/A</v>
      </c>
      <c r="O106" s="27" t="e">
        <f ca="1">DesiredRetirementIncome</f>
        <v>#N/A</v>
      </c>
      <c r="P106" s="27" t="e">
        <f ca="1">PensionIncome_Under</f>
        <v>#N/A</v>
      </c>
      <c r="Q106" s="27" t="e">
        <f ca="1">EndBalance</f>
        <v>#N/A</v>
      </c>
      <c r="T106" s="27" t="e">
        <f ca="1">Balance_Over</f>
        <v>#N/A</v>
      </c>
      <c r="U106" s="27" t="e">
        <f ca="1">Interest_Over</f>
        <v>#N/A</v>
      </c>
      <c r="V106" s="27" t="e">
        <f ca="1">YearlySavings_Over</f>
        <v>#N/A</v>
      </c>
      <c r="W106" s="27" t="e">
        <f ca="1">DesiredRetirementIncome</f>
        <v>#N/A</v>
      </c>
      <c r="X106" s="27" t="e">
        <f ca="1">PensionIncome_Over</f>
        <v>#N/A</v>
      </c>
      <c r="Y106" s="27" t="e">
        <f ca="1">EndBalance</f>
        <v>#N/A</v>
      </c>
      <c r="AB106" s="27" t="e">
        <f ca="1">IF(Calculations!B106&lt;DesiredRetirementAge,I106,NA())</f>
        <v>#N/A</v>
      </c>
      <c r="AC106" s="27" t="e">
        <f ca="1">IF(Calculations!B106&gt;=(DesiredRetirementAge-1),I106,NA())</f>
        <v>#N/A</v>
      </c>
      <c r="AD106" s="27"/>
      <c r="AF106" s="27" t="e">
        <f t="shared" ca="1" si="1"/>
        <v>#N/A</v>
      </c>
    </row>
    <row r="107" spans="2:32">
      <c r="B107" t="e">
        <f ca="1">Age</f>
        <v>#N/A</v>
      </c>
      <c r="C107" s="27" t="e">
        <f ca="1">Salary</f>
        <v>#N/A</v>
      </c>
      <c r="D107" s="27" t="e">
        <f ca="1">Balance</f>
        <v>#N/A</v>
      </c>
      <c r="E107" s="27" t="e">
        <f ca="1">Interest</f>
        <v>#N/A</v>
      </c>
      <c r="F107" s="27" t="e">
        <f ca="1">YearlySavings</f>
        <v>#N/A</v>
      </c>
      <c r="G107" s="27" t="e">
        <f ca="1">DesiredRetirementIncome</f>
        <v>#N/A</v>
      </c>
      <c r="H107" s="27" t="e">
        <f ca="1">PensionIncome</f>
        <v>#N/A</v>
      </c>
      <c r="I107" s="27" t="e">
        <f ca="1">EndBalance</f>
        <v>#N/A</v>
      </c>
      <c r="L107" s="27" t="e">
        <f ca="1">Balance_Under</f>
        <v>#N/A</v>
      </c>
      <c r="M107" s="27" t="e">
        <f ca="1">Interest_Under</f>
        <v>#N/A</v>
      </c>
      <c r="N107" s="27" t="e">
        <f ca="1">YearlySavings_Under</f>
        <v>#N/A</v>
      </c>
      <c r="O107" s="27" t="e">
        <f ca="1">DesiredRetirementIncome</f>
        <v>#N/A</v>
      </c>
      <c r="P107" s="27" t="e">
        <f ca="1">PensionIncome_Under</f>
        <v>#N/A</v>
      </c>
      <c r="Q107" s="27" t="e">
        <f ca="1">EndBalance</f>
        <v>#N/A</v>
      </c>
      <c r="T107" s="27" t="e">
        <f ca="1">Balance_Over</f>
        <v>#N/A</v>
      </c>
      <c r="U107" s="27" t="e">
        <f ca="1">Interest_Over</f>
        <v>#N/A</v>
      </c>
      <c r="V107" s="27" t="e">
        <f ca="1">YearlySavings_Over</f>
        <v>#N/A</v>
      </c>
      <c r="W107" s="27" t="e">
        <f ca="1">DesiredRetirementIncome</f>
        <v>#N/A</v>
      </c>
      <c r="X107" s="27" t="e">
        <f ca="1">PensionIncome_Over</f>
        <v>#N/A</v>
      </c>
      <c r="Y107" s="27" t="e">
        <f ca="1">EndBalance</f>
        <v>#N/A</v>
      </c>
      <c r="AB107" s="27" t="e">
        <f ca="1">IF(Calculations!B107&lt;DesiredRetirementAge,I107,NA())</f>
        <v>#N/A</v>
      </c>
      <c r="AC107" s="27" t="e">
        <f ca="1">IF(Calculations!B107&gt;=(DesiredRetirementAge-1),I107,NA())</f>
        <v>#N/A</v>
      </c>
      <c r="AD107" s="27"/>
      <c r="AF107" s="27" t="e">
        <f t="shared" ca="1" si="1"/>
        <v>#N/A</v>
      </c>
    </row>
    <row r="108" spans="2:32">
      <c r="B108" t="e">
        <f ca="1">Age</f>
        <v>#N/A</v>
      </c>
      <c r="C108" s="27" t="e">
        <f ca="1">Salary</f>
        <v>#N/A</v>
      </c>
      <c r="D108" s="27" t="e">
        <f ca="1">Balance</f>
        <v>#N/A</v>
      </c>
      <c r="E108" s="27" t="e">
        <f ca="1">Interest</f>
        <v>#N/A</v>
      </c>
      <c r="F108" s="27" t="e">
        <f ca="1">YearlySavings</f>
        <v>#N/A</v>
      </c>
      <c r="G108" s="27" t="e">
        <f ca="1">DesiredRetirementIncome</f>
        <v>#N/A</v>
      </c>
      <c r="H108" s="27" t="e">
        <f ca="1">PensionIncome</f>
        <v>#N/A</v>
      </c>
      <c r="I108" s="27" t="e">
        <f ca="1">EndBalance</f>
        <v>#N/A</v>
      </c>
      <c r="L108" s="27" t="e">
        <f ca="1">Balance_Under</f>
        <v>#N/A</v>
      </c>
      <c r="M108" s="27" t="e">
        <f ca="1">Interest_Under</f>
        <v>#N/A</v>
      </c>
      <c r="N108" s="27" t="e">
        <f ca="1">YearlySavings_Under</f>
        <v>#N/A</v>
      </c>
      <c r="O108" s="27" t="e">
        <f ca="1">DesiredRetirementIncome</f>
        <v>#N/A</v>
      </c>
      <c r="P108" s="27" t="e">
        <f ca="1">PensionIncome_Under</f>
        <v>#N/A</v>
      </c>
      <c r="Q108" s="27" t="e">
        <f ca="1">EndBalance</f>
        <v>#N/A</v>
      </c>
      <c r="T108" s="27" t="e">
        <f ca="1">Balance_Over</f>
        <v>#N/A</v>
      </c>
      <c r="U108" s="27" t="e">
        <f ca="1">Interest_Over</f>
        <v>#N/A</v>
      </c>
      <c r="V108" s="27" t="e">
        <f ca="1">YearlySavings_Over</f>
        <v>#N/A</v>
      </c>
      <c r="W108" s="27" t="e">
        <f ca="1">DesiredRetirementIncome</f>
        <v>#N/A</v>
      </c>
      <c r="X108" s="27" t="e">
        <f ca="1">PensionIncome_Over</f>
        <v>#N/A</v>
      </c>
      <c r="Y108" s="27" t="e">
        <f ca="1">EndBalance</f>
        <v>#N/A</v>
      </c>
      <c r="AB108" s="27" t="e">
        <f ca="1">IF(Calculations!B108&lt;DesiredRetirementAge,I108,NA())</f>
        <v>#N/A</v>
      </c>
      <c r="AC108" s="27" t="e">
        <f ca="1">IF(Calculations!B108&gt;=(DesiredRetirementAge-1),I108,NA())</f>
        <v>#N/A</v>
      </c>
      <c r="AD108" s="27"/>
      <c r="AF108" s="27" t="e">
        <f t="shared" ca="1" si="1"/>
        <v>#N/A</v>
      </c>
    </row>
    <row r="109" spans="2:32">
      <c r="B109" t="e">
        <f ca="1">Age</f>
        <v>#N/A</v>
      </c>
      <c r="C109" s="27" t="e">
        <f ca="1">Salary</f>
        <v>#N/A</v>
      </c>
      <c r="D109" s="27" t="e">
        <f ca="1">Balance</f>
        <v>#N/A</v>
      </c>
      <c r="E109" s="27" t="e">
        <f ca="1">Interest</f>
        <v>#N/A</v>
      </c>
      <c r="F109" s="27" t="e">
        <f ca="1">YearlySavings</f>
        <v>#N/A</v>
      </c>
      <c r="G109" s="27" t="e">
        <f ca="1">DesiredRetirementIncome</f>
        <v>#N/A</v>
      </c>
      <c r="H109" s="27" t="e">
        <f ca="1">PensionIncome</f>
        <v>#N/A</v>
      </c>
      <c r="I109" s="27" t="e">
        <f ca="1">EndBalance</f>
        <v>#N/A</v>
      </c>
      <c r="L109" s="27" t="e">
        <f ca="1">Balance_Under</f>
        <v>#N/A</v>
      </c>
      <c r="M109" s="27" t="e">
        <f ca="1">Interest_Under</f>
        <v>#N/A</v>
      </c>
      <c r="N109" s="27" t="e">
        <f ca="1">YearlySavings_Under</f>
        <v>#N/A</v>
      </c>
      <c r="O109" s="27" t="e">
        <f ca="1">DesiredRetirementIncome</f>
        <v>#N/A</v>
      </c>
      <c r="P109" s="27" t="e">
        <f ca="1">PensionIncome_Under</f>
        <v>#N/A</v>
      </c>
      <c r="Q109" s="27" t="e">
        <f ca="1">EndBalance</f>
        <v>#N/A</v>
      </c>
      <c r="T109" s="27" t="e">
        <f ca="1">Balance_Over</f>
        <v>#N/A</v>
      </c>
      <c r="U109" s="27" t="e">
        <f ca="1">Interest_Over</f>
        <v>#N/A</v>
      </c>
      <c r="V109" s="27" t="e">
        <f ca="1">YearlySavings_Over</f>
        <v>#N/A</v>
      </c>
      <c r="W109" s="27" t="e">
        <f ca="1">DesiredRetirementIncome</f>
        <v>#N/A</v>
      </c>
      <c r="X109" s="27" t="e">
        <f ca="1">PensionIncome_Over</f>
        <v>#N/A</v>
      </c>
      <c r="Y109" s="27" t="e">
        <f ca="1">EndBalance</f>
        <v>#N/A</v>
      </c>
      <c r="AB109" s="27" t="e">
        <f ca="1">IF(Calculations!B109&lt;DesiredRetirementAge,I109,NA())</f>
        <v>#N/A</v>
      </c>
      <c r="AC109" s="27" t="e">
        <f ca="1">IF(Calculations!B109&gt;=(DesiredRetirementAge-1),I109,NA())</f>
        <v>#N/A</v>
      </c>
      <c r="AD109" s="27"/>
      <c r="AF109" s="27" t="e">
        <f t="shared" ca="1" si="1"/>
        <v>#N/A</v>
      </c>
    </row>
    <row r="110" spans="2:32">
      <c r="B110" t="e">
        <f ca="1">Age</f>
        <v>#N/A</v>
      </c>
      <c r="C110" s="27" t="e">
        <f ca="1">Salary</f>
        <v>#N/A</v>
      </c>
      <c r="D110" s="27" t="e">
        <f ca="1">Balance</f>
        <v>#N/A</v>
      </c>
      <c r="E110" s="27" t="e">
        <f ca="1">Interest</f>
        <v>#N/A</v>
      </c>
      <c r="F110" s="27" t="e">
        <f ca="1">YearlySavings</f>
        <v>#N/A</v>
      </c>
      <c r="G110" s="27" t="e">
        <f ca="1">DesiredRetirementIncome</f>
        <v>#N/A</v>
      </c>
      <c r="H110" s="27" t="e">
        <f ca="1">PensionIncome</f>
        <v>#N/A</v>
      </c>
      <c r="I110" s="27" t="e">
        <f ca="1">EndBalance</f>
        <v>#N/A</v>
      </c>
      <c r="L110" s="27" t="e">
        <f ca="1">Balance_Under</f>
        <v>#N/A</v>
      </c>
      <c r="M110" s="27" t="e">
        <f ca="1">Interest_Under</f>
        <v>#N/A</v>
      </c>
      <c r="N110" s="27" t="e">
        <f ca="1">YearlySavings_Under</f>
        <v>#N/A</v>
      </c>
      <c r="O110" s="27" t="e">
        <f ca="1">DesiredRetirementIncome</f>
        <v>#N/A</v>
      </c>
      <c r="P110" s="27" t="e">
        <f ca="1">PensionIncome_Under</f>
        <v>#N/A</v>
      </c>
      <c r="Q110" s="27" t="e">
        <f ca="1">EndBalance</f>
        <v>#N/A</v>
      </c>
      <c r="T110" s="27" t="e">
        <f ca="1">Balance_Over</f>
        <v>#N/A</v>
      </c>
      <c r="U110" s="27" t="e">
        <f ca="1">Interest_Over</f>
        <v>#N/A</v>
      </c>
      <c r="V110" s="27" t="e">
        <f ca="1">YearlySavings_Over</f>
        <v>#N/A</v>
      </c>
      <c r="W110" s="27" t="e">
        <f ca="1">DesiredRetirementIncome</f>
        <v>#N/A</v>
      </c>
      <c r="X110" s="27" t="e">
        <f ca="1">PensionIncome_Over</f>
        <v>#N/A</v>
      </c>
      <c r="Y110" s="27" t="e">
        <f ca="1">EndBalance</f>
        <v>#N/A</v>
      </c>
      <c r="AB110" s="27" t="e">
        <f ca="1">IF(Calculations!B110&lt;DesiredRetirementAge,I110,NA())</f>
        <v>#N/A</v>
      </c>
      <c r="AC110" s="27" t="e">
        <f ca="1">IF(Calculations!B110&gt;=(DesiredRetirementAge-1),I110,NA())</f>
        <v>#N/A</v>
      </c>
      <c r="AD110" s="27"/>
      <c r="AF110" s="27" t="e">
        <f t="shared" ca="1" si="1"/>
        <v>#N/A</v>
      </c>
    </row>
    <row r="111" spans="2:32">
      <c r="B111" t="e">
        <f ca="1">Age</f>
        <v>#N/A</v>
      </c>
      <c r="C111" s="27" t="e">
        <f ca="1">Salary</f>
        <v>#N/A</v>
      </c>
      <c r="D111" s="27" t="e">
        <f ca="1">Balance</f>
        <v>#N/A</v>
      </c>
      <c r="E111" s="27" t="e">
        <f ca="1">Interest</f>
        <v>#N/A</v>
      </c>
      <c r="F111" s="27" t="e">
        <f ca="1">YearlySavings</f>
        <v>#N/A</v>
      </c>
      <c r="G111" s="27" t="e">
        <f ca="1">DesiredRetirementIncome</f>
        <v>#N/A</v>
      </c>
      <c r="H111" s="27" t="e">
        <f ca="1">PensionIncome</f>
        <v>#N/A</v>
      </c>
      <c r="I111" s="27" t="e">
        <f ca="1">EndBalance</f>
        <v>#N/A</v>
      </c>
      <c r="L111" s="27" t="e">
        <f ca="1">Balance_Under</f>
        <v>#N/A</v>
      </c>
      <c r="M111" s="27" t="e">
        <f ca="1">Interest_Under</f>
        <v>#N/A</v>
      </c>
      <c r="N111" s="27" t="e">
        <f ca="1">YearlySavings_Under</f>
        <v>#N/A</v>
      </c>
      <c r="O111" s="27" t="e">
        <f ca="1">DesiredRetirementIncome</f>
        <v>#N/A</v>
      </c>
      <c r="P111" s="27" t="e">
        <f ca="1">PensionIncome_Under</f>
        <v>#N/A</v>
      </c>
      <c r="Q111" s="27" t="e">
        <f ca="1">EndBalance</f>
        <v>#N/A</v>
      </c>
      <c r="T111" s="27" t="e">
        <f ca="1">Balance_Over</f>
        <v>#N/A</v>
      </c>
      <c r="U111" s="27" t="e">
        <f ca="1">Interest_Over</f>
        <v>#N/A</v>
      </c>
      <c r="V111" s="27" t="e">
        <f ca="1">YearlySavings_Over</f>
        <v>#N/A</v>
      </c>
      <c r="W111" s="27" t="e">
        <f ca="1">DesiredRetirementIncome</f>
        <v>#N/A</v>
      </c>
      <c r="X111" s="27" t="e">
        <f ca="1">PensionIncome_Over</f>
        <v>#N/A</v>
      </c>
      <c r="Y111" s="27" t="e">
        <f ca="1">EndBalance</f>
        <v>#N/A</v>
      </c>
      <c r="AB111" s="27" t="e">
        <f ca="1">IF(Calculations!B111&lt;DesiredRetirementAge,I111,NA())</f>
        <v>#N/A</v>
      </c>
      <c r="AC111" s="27" t="e">
        <f ca="1">IF(Calculations!B111&gt;=(DesiredRetirementAge-1),I111,NA())</f>
        <v>#N/A</v>
      </c>
      <c r="AD111" s="27"/>
      <c r="AF111" s="27" t="e">
        <f t="shared" ca="1" si="1"/>
        <v>#N/A</v>
      </c>
    </row>
    <row r="112" spans="2:32">
      <c r="B112" t="e">
        <f ca="1">Age</f>
        <v>#N/A</v>
      </c>
      <c r="C112" s="27" t="e">
        <f ca="1">Salary</f>
        <v>#N/A</v>
      </c>
      <c r="D112" s="27" t="e">
        <f ca="1">Balance</f>
        <v>#N/A</v>
      </c>
      <c r="E112" s="27" t="e">
        <f ca="1">Interest</f>
        <v>#N/A</v>
      </c>
      <c r="F112" s="27" t="e">
        <f ca="1">YearlySavings</f>
        <v>#N/A</v>
      </c>
      <c r="G112" s="27" t="e">
        <f ca="1">DesiredRetirementIncome</f>
        <v>#N/A</v>
      </c>
      <c r="H112" s="27" t="e">
        <f ca="1">PensionIncome</f>
        <v>#N/A</v>
      </c>
      <c r="I112" s="27" t="e">
        <f ca="1">EndBalance</f>
        <v>#N/A</v>
      </c>
      <c r="L112" s="27" t="e">
        <f ca="1">Balance_Under</f>
        <v>#N/A</v>
      </c>
      <c r="M112" s="27" t="e">
        <f ca="1">Interest_Under</f>
        <v>#N/A</v>
      </c>
      <c r="N112" s="27" t="e">
        <f ca="1">YearlySavings_Under</f>
        <v>#N/A</v>
      </c>
      <c r="O112" s="27" t="e">
        <f ca="1">DesiredRetirementIncome</f>
        <v>#N/A</v>
      </c>
      <c r="P112" s="27" t="e">
        <f ca="1">PensionIncome_Under</f>
        <v>#N/A</v>
      </c>
      <c r="Q112" s="27" t="e">
        <f ca="1">EndBalance</f>
        <v>#N/A</v>
      </c>
      <c r="T112" s="27" t="e">
        <f ca="1">Balance_Over</f>
        <v>#N/A</v>
      </c>
      <c r="U112" s="27" t="e">
        <f ca="1">Interest_Over</f>
        <v>#N/A</v>
      </c>
      <c r="V112" s="27" t="e">
        <f ca="1">YearlySavings_Over</f>
        <v>#N/A</v>
      </c>
      <c r="W112" s="27" t="e">
        <f ca="1">DesiredRetirementIncome</f>
        <v>#N/A</v>
      </c>
      <c r="X112" s="27" t="e">
        <f ca="1">PensionIncome_Over</f>
        <v>#N/A</v>
      </c>
      <c r="Y112" s="27" t="e">
        <f ca="1">EndBalance</f>
        <v>#N/A</v>
      </c>
      <c r="AB112" s="27" t="e">
        <f ca="1">IF(Calculations!B112&lt;DesiredRetirementAge,I112,NA())</f>
        <v>#N/A</v>
      </c>
      <c r="AC112" s="27" t="e">
        <f ca="1">IF(Calculations!B112&gt;=(DesiredRetirementAge-1),I112,NA())</f>
        <v>#N/A</v>
      </c>
      <c r="AD112" s="27"/>
      <c r="AF112" s="27" t="e">
        <f t="shared" ca="1" si="1"/>
        <v>#N/A</v>
      </c>
    </row>
    <row r="113" spans="2:32">
      <c r="B113" t="e">
        <f ca="1">Age</f>
        <v>#N/A</v>
      </c>
      <c r="C113" s="27" t="e">
        <f ca="1">Salary</f>
        <v>#N/A</v>
      </c>
      <c r="D113" s="27" t="e">
        <f ca="1">Balance</f>
        <v>#N/A</v>
      </c>
      <c r="E113" s="27" t="e">
        <f ca="1">Interest</f>
        <v>#N/A</v>
      </c>
      <c r="F113" s="27" t="e">
        <f ca="1">YearlySavings</f>
        <v>#N/A</v>
      </c>
      <c r="G113" s="27" t="e">
        <f ca="1">DesiredRetirementIncome</f>
        <v>#N/A</v>
      </c>
      <c r="H113" s="27" t="e">
        <f ca="1">PensionIncome</f>
        <v>#N/A</v>
      </c>
      <c r="I113" s="27" t="e">
        <f ca="1">EndBalance</f>
        <v>#N/A</v>
      </c>
      <c r="L113" s="27" t="e">
        <f ca="1">Balance_Under</f>
        <v>#N/A</v>
      </c>
      <c r="M113" s="27" t="e">
        <f ca="1">Interest_Under</f>
        <v>#N/A</v>
      </c>
      <c r="N113" s="27" t="e">
        <f ca="1">YearlySavings_Under</f>
        <v>#N/A</v>
      </c>
      <c r="O113" s="27" t="e">
        <f ca="1">DesiredRetirementIncome</f>
        <v>#N/A</v>
      </c>
      <c r="P113" s="27" t="e">
        <f ca="1">PensionIncome_Under</f>
        <v>#N/A</v>
      </c>
      <c r="Q113" s="27" t="e">
        <f ca="1">EndBalance</f>
        <v>#N/A</v>
      </c>
      <c r="T113" s="27" t="e">
        <f ca="1">Balance_Over</f>
        <v>#N/A</v>
      </c>
      <c r="U113" s="27" t="e">
        <f ca="1">Interest_Over</f>
        <v>#N/A</v>
      </c>
      <c r="V113" s="27" t="e">
        <f ca="1">YearlySavings_Over</f>
        <v>#N/A</v>
      </c>
      <c r="W113" s="27" t="e">
        <f ca="1">DesiredRetirementIncome</f>
        <v>#N/A</v>
      </c>
      <c r="X113" s="27" t="e">
        <f ca="1">PensionIncome_Over</f>
        <v>#N/A</v>
      </c>
      <c r="Y113" s="27" t="e">
        <f ca="1">EndBalance</f>
        <v>#N/A</v>
      </c>
      <c r="AB113" s="27" t="e">
        <f ca="1">IF(Calculations!B113&lt;DesiredRetirementAge,I113,NA())</f>
        <v>#N/A</v>
      </c>
      <c r="AC113" s="27" t="e">
        <f ca="1">IF(Calculations!B113&gt;=(DesiredRetirementAge-1),I113,NA())</f>
        <v>#N/A</v>
      </c>
      <c r="AD113" s="27"/>
      <c r="AF113" s="27" t="e">
        <f t="shared" ca="1" si="1"/>
        <v>#N/A</v>
      </c>
    </row>
    <row r="114" spans="2:32">
      <c r="B114" t="e">
        <f ca="1">Age</f>
        <v>#N/A</v>
      </c>
      <c r="C114" s="27" t="e">
        <f ca="1">Salary</f>
        <v>#N/A</v>
      </c>
      <c r="D114" s="27" t="e">
        <f ca="1">Balance</f>
        <v>#N/A</v>
      </c>
      <c r="E114" s="27" t="e">
        <f ca="1">Interest</f>
        <v>#N/A</v>
      </c>
      <c r="F114" s="27" t="e">
        <f ca="1">YearlySavings</f>
        <v>#N/A</v>
      </c>
      <c r="G114" s="27" t="e">
        <f ca="1">DesiredRetirementIncome</f>
        <v>#N/A</v>
      </c>
      <c r="H114" s="27" t="e">
        <f ca="1">PensionIncome</f>
        <v>#N/A</v>
      </c>
      <c r="I114" s="27" t="e">
        <f ca="1">EndBalance</f>
        <v>#N/A</v>
      </c>
      <c r="L114" s="27" t="e">
        <f ca="1">Balance_Under</f>
        <v>#N/A</v>
      </c>
      <c r="M114" s="27" t="e">
        <f ca="1">Interest_Under</f>
        <v>#N/A</v>
      </c>
      <c r="N114" s="27" t="e">
        <f ca="1">YearlySavings_Under</f>
        <v>#N/A</v>
      </c>
      <c r="O114" s="27" t="e">
        <f ca="1">DesiredRetirementIncome</f>
        <v>#N/A</v>
      </c>
      <c r="P114" s="27" t="e">
        <f ca="1">PensionIncome_Under</f>
        <v>#N/A</v>
      </c>
      <c r="Q114" s="27" t="e">
        <f ca="1">EndBalance</f>
        <v>#N/A</v>
      </c>
      <c r="T114" s="27" t="e">
        <f ca="1">Balance_Over</f>
        <v>#N/A</v>
      </c>
      <c r="U114" s="27" t="e">
        <f ca="1">Interest_Over</f>
        <v>#N/A</v>
      </c>
      <c r="V114" s="27" t="e">
        <f ca="1">YearlySavings_Over</f>
        <v>#N/A</v>
      </c>
      <c r="W114" s="27" t="e">
        <f ca="1">DesiredRetirementIncome</f>
        <v>#N/A</v>
      </c>
      <c r="X114" s="27" t="e">
        <f ca="1">PensionIncome_Over</f>
        <v>#N/A</v>
      </c>
      <c r="Y114" s="27" t="e">
        <f ca="1">EndBalance</f>
        <v>#N/A</v>
      </c>
      <c r="AB114" s="27" t="e">
        <f ca="1">IF(Calculations!B114&lt;DesiredRetirementAge,I114,NA())</f>
        <v>#N/A</v>
      </c>
      <c r="AC114" s="27" t="e">
        <f ca="1">IF(Calculations!B114&gt;=(DesiredRetirementAge-1),I114,NA())</f>
        <v>#N/A</v>
      </c>
      <c r="AD114" s="27"/>
      <c r="AF114" s="27" t="e">
        <f t="shared" ca="1" si="1"/>
        <v>#N/A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20D7F0-A9F1-401B-AFC6-4B80F145F5E1}"/>
</file>

<file path=customXml/itemProps2.xml><?xml version="1.0" encoding="utf-8"?>
<ds:datastoreItem xmlns:ds="http://schemas.openxmlformats.org/officeDocument/2006/customXml" ds:itemID="{84F81605-F6C3-44F6-B2E9-FAE422FB5C69}"/>
</file>

<file path=customXml/itemProps3.xml><?xml version="1.0" encoding="utf-8"?>
<ds:datastoreItem xmlns:ds="http://schemas.openxmlformats.org/officeDocument/2006/customXml" ds:itemID="{6FE6DFFC-483B-41E3-A548-F26DDD0533D9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TM67043060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mlwatts477</dc:creator>
  <cp:keywords/>
  <dc:description/>
  <cp:lastModifiedBy/>
  <cp:revision/>
  <dcterms:created xsi:type="dcterms:W3CDTF">2026-05-20T05:21:41Z</dcterms:created>
  <dcterms:modified xsi:type="dcterms:W3CDTF">2026-05-20T05:23:38Z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